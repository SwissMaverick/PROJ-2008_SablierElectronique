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dossantos\Desktop\2008_SablierElectronique\doc\B\"/>
    </mc:Choice>
  </mc:AlternateContent>
  <bookViews>
    <workbookView xWindow="0" yWindow="0" windowWidth="21570" windowHeight="8085"/>
  </bookViews>
  <sheets>
    <sheet name="Home" sheetId="3" r:id="rId1"/>
    <sheet name="24" sheetId="15" r:id="rId2"/>
    <sheet name="FAQ" sheetId="14" r:id="rId3"/>
    <sheet name="Projets" sheetId="8" r:id="rId4"/>
    <sheet name="W" sheetId="1" r:id="rId5"/>
  </sheets>
  <functionGroups builtInGroupCount="18"/>
  <definedNames>
    <definedName name="DayEnd" localSheetId="1">'24'!$B$6</definedName>
    <definedName name="DayEnd">W!$B$6</definedName>
    <definedName name="DayStart" localSheetId="1">'24'!$B$5</definedName>
    <definedName name="DayStart">W!$B$5</definedName>
    <definedName name="DayStop" localSheetId="1">'24'!$B$6</definedName>
    <definedName name="DayStop">W!$B$6</definedName>
    <definedName name="hTot" localSheetId="1">#REF!</definedName>
    <definedName name="hTot">#REF!</definedName>
    <definedName name="jour" localSheetId="1">'24'!$B$18:$B$117</definedName>
    <definedName name="jour">W!$B$15:$B$111</definedName>
    <definedName name="Tot" localSheetId="1">'24'!$G$18:$G$117</definedName>
    <definedName name="Tot">W!$G$16:$G$111</definedName>
    <definedName name="Total" localSheetId="1">#REF!</definedName>
    <definedName name="Total">#REF!</definedName>
    <definedName name="vTotal" localSheetId="1">#REF!</definedName>
    <definedName name="vTotal">#REF!</definedName>
    <definedName name="Week" localSheetId="1">'24'!$B$4</definedName>
    <definedName name="Week">W!$B$4</definedName>
    <definedName name="_xlnm.Print_Area" localSheetId="1">'24'!$B$4:$H$67</definedName>
    <definedName name="_xlnm.Print_Area" localSheetId="2">FAQ!$A$1:$C$39</definedName>
    <definedName name="_xlnm.Print_Area" localSheetId="0">Home!$B$6:$F$56</definedName>
    <definedName name="_xlnm.Print_Area" localSheetId="4">W!$B$4:$H$61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3" l="1"/>
  <c r="F12" i="3"/>
  <c r="E16" i="3"/>
  <c r="F20" i="3"/>
  <c r="F19" i="3"/>
  <c r="F18" i="3"/>
  <c r="F17" i="3"/>
  <c r="F16" i="3"/>
  <c r="G8" i="15" a="1"/>
  <c r="G10" i="15" a="1"/>
  <c r="G9" i="15" a="1"/>
  <c r="G7" i="15" a="1"/>
  <c r="G11" i="15" a="1"/>
  <c r="G6" i="15" a="1"/>
  <c r="G5" i="15" a="1"/>
  <c r="G6" i="1" a="1"/>
  <c r="G10" i="1" a="1"/>
  <c r="G5" i="1" a="1"/>
  <c r="G8" i="1" a="1"/>
  <c r="G11" i="1" a="1"/>
  <c r="G7" i="1" a="1"/>
  <c r="G9" i="1" a="1"/>
  <c r="G5" i="15" l="1"/>
  <c r="G6" i="15"/>
  <c r="G11" i="15"/>
  <c r="G7" i="15"/>
  <c r="G9" i="15"/>
  <c r="G10" i="15"/>
  <c r="G8" i="15"/>
  <c r="G5" i="1"/>
  <c r="G7" i="1"/>
  <c r="G9" i="1"/>
  <c r="G11" i="1"/>
  <c r="G6" i="1"/>
  <c r="G8" i="1"/>
  <c r="G10" i="1"/>
  <c r="G12" i="15" l="1"/>
  <c r="G12" i="1"/>
  <c r="F21" i="3"/>
  <c r="E20" i="3"/>
  <c r="E19" i="3"/>
  <c r="E18" i="3"/>
  <c r="E17" i="3"/>
  <c r="E21" i="3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<sst xmlns="http://schemas.openxmlformats.org/spreadsheetml/2006/main" count="108" uniqueCount="57">
  <si>
    <t>Projets</t>
  </si>
  <si>
    <t>Date</t>
  </si>
  <si>
    <t>Tâches</t>
  </si>
  <si>
    <t>Théorie</t>
  </si>
  <si>
    <t>Nom du Projet</t>
  </si>
  <si>
    <t>Mardi</t>
  </si>
  <si>
    <t>Mercredi</t>
  </si>
  <si>
    <t>Jeudi</t>
  </si>
  <si>
    <t>Vendredi</t>
  </si>
  <si>
    <t>Lundi</t>
  </si>
  <si>
    <t>Description</t>
  </si>
  <si>
    <t>Numéro</t>
  </si>
  <si>
    <t>Séance de classe</t>
  </si>
  <si>
    <t>Semaine</t>
  </si>
  <si>
    <t>Type / Activité</t>
  </si>
  <si>
    <t>Remarques</t>
  </si>
  <si>
    <t>Prénom</t>
  </si>
  <si>
    <t>Nom</t>
  </si>
  <si>
    <t>Classe</t>
  </si>
  <si>
    <t>Total</t>
  </si>
  <si>
    <t>Total [h]</t>
  </si>
  <si>
    <t>Non productif</t>
  </si>
  <si>
    <t>Il doit toujours y avoir au moins un projet et une activité.</t>
  </si>
  <si>
    <t>Samedi</t>
  </si>
  <si>
    <t>Dimanche</t>
  </si>
  <si>
    <t>Jour</t>
  </si>
  <si>
    <t>Du</t>
  </si>
  <si>
    <t>Au</t>
  </si>
  <si>
    <t>De</t>
  </si>
  <si>
    <t>À</t>
  </si>
  <si>
    <t>[h]</t>
  </si>
  <si>
    <t>Nom du projet</t>
  </si>
  <si>
    <t>Projet</t>
  </si>
  <si>
    <t>Question</t>
  </si>
  <si>
    <t>Réponse</t>
  </si>
  <si>
    <t>Exemple</t>
  </si>
  <si>
    <t>Énoncé succinct de la question.</t>
  </si>
  <si>
    <t>Réponse apportée, éventuellement
Sur plusieurs lignes.</t>
  </si>
  <si>
    <t>Détail [h]</t>
  </si>
  <si>
    <t>Sem.</t>
  </si>
  <si>
    <t>Mario</t>
  </si>
  <si>
    <t>Dos Santos</t>
  </si>
  <si>
    <t>Slo2</t>
  </si>
  <si>
    <t>SablierElectronique</t>
  </si>
  <si>
    <t>Cahier des charges</t>
  </si>
  <si>
    <t>Communication USB</t>
  </si>
  <si>
    <t>Application C#</t>
  </si>
  <si>
    <t>Communication Bluetooth</t>
  </si>
  <si>
    <t>Présentation</t>
  </si>
  <si>
    <t>Documentations</t>
  </si>
  <si>
    <t>début du projet/ s'informer sur le projet</t>
  </si>
  <si>
    <t>s'informer du travail restant/ commencer le cahier des charges</t>
  </si>
  <si>
    <t>Finaliser le cahier des charges</t>
  </si>
  <si>
    <t>Commencer l'application C# car M.bovey occuper et ne peut pas venir m'aider</t>
  </si>
  <si>
    <t>aide de M.bovey et decouverte du probleme de la communication USB - refaire un projet pour implémenter l'USB</t>
  </si>
  <si>
    <t>Faire un nouveau projet car arborescences introuvable - s'informer de la partie hardware du projet/ et software(partie software introuvable)</t>
  </si>
  <si>
    <t>Commencer et finaliser le rapport du projet version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</si>
</sst>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h]:mm"/>
    <numFmt numFmtId="166" formatCode="yyyy\-mm\-dd;@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NumberFormat="1" applyAlignment="1">
      <alignment wrapText="1" shrinkToFit="1"/>
    </xf>
    <xf numFmtId="0" fontId="0" fillId="0" borderId="1" xfId="0" applyBorder="1"/>
    <xf numFmtId="14" fontId="0" fillId="0" borderId="0" xfId="0" applyNumberFormat="1" applyAlignment="1">
      <alignment horizontal="center"/>
    </xf>
    <xf numFmtId="20" fontId="0" fillId="0" borderId="0" xfId="0" applyNumberFormat="1" applyAlignment="1" applyProtection="1">
      <alignment horizontal="center" wrapText="1" shrinkToFit="1" readingOrder="1"/>
    </xf>
    <xf numFmtId="0" fontId="0" fillId="0" borderId="0" xfId="0" applyNumberFormat="1" applyAlignment="1" applyProtection="1">
      <alignment horizontal="center" wrapText="1" shrinkToFit="1" readingOrder="1"/>
    </xf>
    <xf numFmtId="0" fontId="1" fillId="2" borderId="0" xfId="0" applyFont="1" applyFill="1" applyAlignment="1">
      <alignment horizontal="center"/>
    </xf>
    <xf numFmtId="0" fontId="3" fillId="0" borderId="0" xfId="0" applyNumberFormat="1" applyFont="1" applyFill="1" applyAlignment="1" applyProtection="1">
      <alignment horizontal="center" wrapText="1" shrinkToFit="1" readingOrder="1"/>
    </xf>
    <xf numFmtId="165" fontId="0" fillId="0" borderId="0" xfId="0" applyNumberFormat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Protection="1">
      <protection locked="0"/>
    </xf>
    <xf numFmtId="1" fontId="0" fillId="0" borderId="0" xfId="0" applyNumberFormat="1" applyProtection="1">
      <protection locked="0"/>
    </xf>
    <xf numFmtId="0" fontId="1" fillId="2" borderId="1" xfId="0" applyFont="1" applyFill="1" applyBorder="1" applyAlignment="1">
      <alignment horizontal="right"/>
    </xf>
    <xf numFmtId="0" fontId="0" fillId="0" borderId="1" xfId="0" applyBorder="1" applyAlignment="1">
      <alignment horizontal="left"/>
    </xf>
    <xf numFmtId="166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 applyAlignment="1" applyProtection="1">
      <alignment horizontal="center"/>
    </xf>
    <xf numFmtId="165" fontId="0" fillId="0" borderId="0" xfId="0" applyNumberFormat="1" applyFill="1" applyAlignment="1">
      <alignment horizontal="center"/>
    </xf>
    <xf numFmtId="164" fontId="1" fillId="2" borderId="1" xfId="0" applyNumberFormat="1" applyFont="1" applyFill="1" applyBorder="1" applyAlignment="1">
      <alignment horizontal="left"/>
    </xf>
    <xf numFmtId="1" fontId="0" fillId="0" borderId="1" xfId="0" applyNumberFormat="1" applyFill="1" applyBorder="1" applyProtection="1">
      <protection locked="0"/>
    </xf>
    <xf numFmtId="166" fontId="0" fillId="0" borderId="1" xfId="0" applyNumberFormat="1" applyBorder="1" applyAlignment="1">
      <alignment horizontal="left"/>
    </xf>
    <xf numFmtId="0" fontId="0" fillId="0" borderId="1" xfId="0" applyNumberFormat="1" applyBorder="1" applyAlignment="1">
      <alignment horizontal="left"/>
    </xf>
    <xf numFmtId="165" fontId="0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49" fontId="0" fillId="0" borderId="0" xfId="0" applyNumberFormat="1" applyAlignment="1">
      <alignment horizontal="justify"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justify" vertical="top" wrapText="1"/>
    </xf>
    <xf numFmtId="21" fontId="0" fillId="0" borderId="0" xfId="0" applyNumberFormat="1"/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right"/>
    </xf>
    <xf numFmtId="165" fontId="0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center"/>
    </xf>
    <xf numFmtId="165" fontId="0" fillId="0" borderId="0" xfId="0" applyNumberFormat="1" applyBorder="1" applyAlignment="1">
      <alignment horizontal="right"/>
    </xf>
    <xf numFmtId="166" fontId="2" fillId="0" borderId="1" xfId="0" applyNumberFormat="1" applyFont="1" applyFill="1" applyBorder="1" applyAlignment="1">
      <alignment horizontal="center" vertical="top"/>
    </xf>
    <xf numFmtId="165" fontId="2" fillId="0" borderId="2" xfId="0" applyNumberFormat="1" applyFont="1" applyFill="1" applyBorder="1" applyAlignment="1">
      <alignment horizontal="center" vertical="top" wrapText="1" shrinkToFit="1"/>
    </xf>
    <xf numFmtId="49" fontId="2" fillId="0" borderId="2" xfId="0" applyNumberFormat="1" applyFont="1" applyFill="1" applyBorder="1" applyAlignment="1">
      <alignment horizontal="left" vertical="top" wrapText="1" shrinkToFit="1"/>
    </xf>
    <xf numFmtId="49" fontId="2" fillId="0" borderId="2" xfId="0" applyNumberFormat="1" applyFont="1" applyFill="1" applyBorder="1" applyAlignment="1" applyProtection="1">
      <alignment horizontal="left" vertical="top" wrapText="1" shrinkToFit="1"/>
    </xf>
    <xf numFmtId="164" fontId="0" fillId="0" borderId="0" xfId="0" applyNumberFormat="1" applyFill="1" applyAlignment="1">
      <alignment horizontal="center"/>
    </xf>
    <xf numFmtId="20" fontId="0" fillId="0" borderId="0" xfId="0" applyNumberFormat="1" applyFill="1" applyAlignment="1">
      <alignment horizontal="center"/>
    </xf>
    <xf numFmtId="0" fontId="0" fillId="0" borderId="0" xfId="0" applyNumberFormat="1" applyFill="1" applyAlignment="1" applyProtection="1">
      <alignment horizontal="center" wrapText="1" shrinkToFit="1" readingOrder="1"/>
    </xf>
    <xf numFmtId="166" fontId="0" fillId="0" borderId="0" xfId="0" applyNumberFormat="1" applyBorder="1" applyAlignment="1">
      <alignment horizontal="left"/>
    </xf>
    <xf numFmtId="164" fontId="1" fillId="2" borderId="3" xfId="0" applyNumberFormat="1" applyFont="1" applyFill="1" applyBorder="1" applyAlignment="1">
      <alignment horizontal="left"/>
    </xf>
    <xf numFmtId="164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center" wrapText="1" shrinkToFit="1"/>
    </xf>
    <xf numFmtId="0" fontId="0" fillId="0" borderId="1" xfId="0" applyFont="1" applyFill="1" applyBorder="1" applyAlignment="1">
      <alignment horizontal="center" wrapText="1" shrinkToFit="1"/>
    </xf>
    <xf numFmtId="19" fontId="0" fillId="0" borderId="1" xfId="0" applyNumberFormat="1" applyFont="1" applyFill="1" applyBorder="1" applyAlignment="1">
      <alignment horizontal="center" wrapText="1" shrinkToFit="1"/>
    </xf>
    <xf numFmtId="0" fontId="0" fillId="0" borderId="4" xfId="0" applyFont="1" applyFill="1" applyBorder="1" applyAlignment="1">
      <alignment horizontal="center" wrapText="1" shrinkToFit="1"/>
    </xf>
    <xf numFmtId="165" fontId="0" fillId="0" borderId="0" xfId="0" applyNumberFormat="1" applyAlignment="1">
      <alignment horizontal="right"/>
    </xf>
    <xf numFmtId="0" fontId="4" fillId="0" borderId="0" xfId="0" applyFont="1" applyFill="1" applyBorder="1" applyAlignment="1">
      <alignment horizontal="center"/>
    </xf>
    <xf numFmtId="14" fontId="7" fillId="0" borderId="0" xfId="0" applyNumberFormat="1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0" borderId="0" xfId="0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 vertical="top" wrapText="1" shrinkToFit="1"/>
    </xf>
    <xf numFmtId="49" fontId="2" fillId="0" borderId="1" xfId="0" applyNumberFormat="1" applyFont="1" applyFill="1" applyBorder="1" applyAlignment="1">
      <alignment horizontal="left" vertical="top" wrapText="1" shrinkToFit="1"/>
    </xf>
    <xf numFmtId="49" fontId="2" fillId="0" borderId="1" xfId="0" applyNumberFormat="1" applyFont="1" applyFill="1" applyBorder="1" applyAlignment="1" applyProtection="1">
      <alignment horizontal="left" vertical="top" wrapText="1" shrinkToFit="1"/>
    </xf>
    <xf numFmtId="166" fontId="2" fillId="3" borderId="1" xfId="0" applyNumberFormat="1" applyFont="1" applyFill="1" applyBorder="1" applyAlignment="1">
      <alignment horizontal="center" vertical="top"/>
    </xf>
    <xf numFmtId="165" fontId="2" fillId="3" borderId="1" xfId="0" applyNumberFormat="1" applyFont="1" applyFill="1" applyBorder="1" applyAlignment="1">
      <alignment horizontal="center" vertical="top" wrapText="1" shrinkToFit="1"/>
    </xf>
    <xf numFmtId="49" fontId="2" fillId="3" borderId="1" xfId="0" applyNumberFormat="1" applyFont="1" applyFill="1" applyBorder="1" applyAlignment="1">
      <alignment horizontal="left" vertical="top" wrapText="1" shrinkToFit="1"/>
    </xf>
    <xf numFmtId="166" fontId="2" fillId="4" borderId="1" xfId="0" applyNumberFormat="1" applyFont="1" applyFill="1" applyBorder="1" applyAlignment="1">
      <alignment horizontal="center" vertical="top"/>
    </xf>
    <xf numFmtId="165" fontId="2" fillId="4" borderId="1" xfId="0" applyNumberFormat="1" applyFont="1" applyFill="1" applyBorder="1" applyAlignment="1">
      <alignment horizontal="center" vertical="top" wrapText="1" shrinkToFit="1"/>
    </xf>
    <xf numFmtId="49" fontId="2" fillId="4" borderId="1" xfId="0" applyNumberFormat="1" applyFont="1" applyFill="1" applyBorder="1" applyAlignment="1">
      <alignment horizontal="left" vertical="top" wrapText="1" shrinkToFit="1"/>
    </xf>
    <xf numFmtId="49" fontId="2" fillId="4" borderId="1" xfId="0" applyNumberFormat="1" applyFont="1" applyFill="1" applyBorder="1" applyAlignment="1" applyProtection="1">
      <alignment horizontal="left" vertical="top" wrapText="1" shrinkToFit="1"/>
    </xf>
  </cellXfs>
  <cellStyles count="1">
    <cellStyle name="Normal" xfId="0" builtinId="0"/>
  </cellStyles>
  <dxfs count="64">
    <dxf>
      <numFmt numFmtId="165" formatCode="[h]:mm"/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5" formatCode="[h]:mm"/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h]:mm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5" formatCode="[h]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5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h]:mm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h]:mm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h]:mm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yyyy\-mm\-dd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center" vertical="bottom" textRotation="0" wrapText="1" indent="0" justifyLastLine="0" shrinkToFit="1" readingOrder="0"/>
    </dxf>
    <dxf>
      <alignment horizontal="center" vertical="bottom" textRotation="0" wrapText="0" indent="0" justifyLastLine="0" shrinkToFit="0" readingOrder="0"/>
    </dxf>
    <dxf>
      <numFmt numFmtId="165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5" formatCode="[h]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h]:mm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h]:mm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h]:mm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yyyy\-mm\-dd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1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numFmt numFmtId="30" formatCode="@"/>
      <alignment horizontal="justify" vertical="top" textRotation="0" wrapText="0" indent="0" justifyLastLine="0" shrinkToFit="0" readingOrder="0"/>
    </dxf>
    <dxf>
      <numFmt numFmtId="30" formatCode="@"/>
      <alignment horizontal="justify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ont>
        <b/>
      </font>
      <numFmt numFmtId="165" formatCode="[h]:mm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</font>
      <numFmt numFmtId="165" formatCode="[h]:mm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h]:mm"/>
      <alignment horizontal="right" vertical="bottom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h]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yyyy\-mm\-dd;@"/>
      <alignment horizontal="center" vertical="bottom" textRotation="0" wrapText="0" indent="0" justifyLastLine="0" shrinkToFit="0" readingOrder="0"/>
    </dxf>
    <dxf>
      <numFmt numFmtId="166" formatCode="yyyy\-mm\-d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14996795556505021"/>
        </patternFill>
      </fill>
    </dxf>
    <dxf>
      <font>
        <b/>
        <i val="0"/>
      </font>
      <border>
        <top style="double">
          <color auto="1"/>
        </top>
      </border>
    </dxf>
    <dxf>
      <font>
        <color theme="0"/>
      </font>
      <fill>
        <patternFill>
          <bgColor theme="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Style de tableau 1" pivot="0" count="4">
      <tableStyleElement type="wholeTable" dxfId="63"/>
      <tableStyleElement type="headerRow" dxfId="62"/>
      <tableStyleElement type="totalRow" dxfId="61"/>
      <tableStyleElement type="secondRowStripe" dxfId="60"/>
    </tableStyle>
  </tableStyles>
  <colors>
    <mruColors>
      <color rgb="FFFAFAE1"/>
      <color rgb="FFFFFFE5"/>
      <color rgb="FFFFF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2</xdr:row>
          <xdr:rowOff>85725</xdr:rowOff>
        </xdr:from>
        <xdr:to>
          <xdr:col>2</xdr:col>
          <xdr:colOff>371475</xdr:colOff>
          <xdr:row>4</xdr:row>
          <xdr:rowOff>0</xdr:rowOff>
        </xdr:to>
        <xdr:sp macro="" textlink="">
          <xdr:nvSpPr>
            <xdr:cNvPr id="1057" name="btnPDF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66675</xdr:rowOff>
        </xdr:from>
        <xdr:to>
          <xdr:col>3</xdr:col>
          <xdr:colOff>1638300</xdr:colOff>
          <xdr:row>4</xdr:row>
          <xdr:rowOff>0</xdr:rowOff>
        </xdr:to>
        <xdr:sp macro="" textlink="">
          <xdr:nvSpPr>
            <xdr:cNvPr id="1118" name="btnWeek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</xdr:row>
          <xdr:rowOff>85725</xdr:rowOff>
        </xdr:from>
        <xdr:to>
          <xdr:col>2</xdr:col>
          <xdr:colOff>2028825</xdr:colOff>
          <xdr:row>4</xdr:row>
          <xdr:rowOff>9525</xdr:rowOff>
        </xdr:to>
        <xdr:sp macro="" textlink="">
          <xdr:nvSpPr>
            <xdr:cNvPr id="1124" name="btnFilter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47625</xdr:rowOff>
        </xdr:from>
        <xdr:to>
          <xdr:col>4</xdr:col>
          <xdr:colOff>409575</xdr:colOff>
          <xdr:row>1</xdr:row>
          <xdr:rowOff>180975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38100</xdr:rowOff>
        </xdr:from>
        <xdr:to>
          <xdr:col>6</xdr:col>
          <xdr:colOff>104775</xdr:colOff>
          <xdr:row>1</xdr:row>
          <xdr:rowOff>180975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123825</xdr:rowOff>
        </xdr:from>
        <xdr:to>
          <xdr:col>5</xdr:col>
          <xdr:colOff>600075</xdr:colOff>
          <xdr:row>1</xdr:row>
          <xdr:rowOff>352425</xdr:rowOff>
        </xdr:to>
        <xdr:sp macro="" textlink="">
          <xdr:nvSpPr>
            <xdr:cNvPr id="19457" name="btnFAQ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</xdr:row>
          <xdr:rowOff>133350</xdr:rowOff>
        </xdr:from>
        <xdr:to>
          <xdr:col>1</xdr:col>
          <xdr:colOff>1343025</xdr:colOff>
          <xdr:row>3</xdr:row>
          <xdr:rowOff>76200</xdr:rowOff>
        </xdr:to>
        <xdr:sp macro="" textlink="">
          <xdr:nvSpPr>
            <xdr:cNvPr id="8193" name="Bt_Projet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</xdr:row>
          <xdr:rowOff>133350</xdr:rowOff>
        </xdr:from>
        <xdr:to>
          <xdr:col>4</xdr:col>
          <xdr:colOff>1428750</xdr:colOff>
          <xdr:row>3</xdr:row>
          <xdr:rowOff>76200</xdr:rowOff>
        </xdr:to>
        <xdr:sp macro="" textlink="">
          <xdr:nvSpPr>
            <xdr:cNvPr id="8194" name="Bt_Activité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47625</xdr:rowOff>
        </xdr:from>
        <xdr:to>
          <xdr:col>4</xdr:col>
          <xdr:colOff>409575</xdr:colOff>
          <xdr:row>1</xdr:row>
          <xdr:rowOff>180975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38100</xdr:rowOff>
        </xdr:from>
        <xdr:to>
          <xdr:col>6</xdr:col>
          <xdr:colOff>104775</xdr:colOff>
          <xdr:row>1</xdr:row>
          <xdr:rowOff>180975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Semaine" displayName="Semaine" ref="B10:F12" totalsRowCount="1" headerRowDxfId="59" headerRowBorderDxfId="58">
  <autoFilter ref="B10:F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Semaine" totalsRowLabel="Total" dataDxfId="57" totalsRowDxfId="4"/>
    <tableColumn id="2" name="Du" dataDxfId="56" totalsRowDxfId="3"/>
    <tableColumn id="3" name="Au" dataDxfId="55" totalsRowDxfId="2"/>
    <tableColumn id="4" name="Détail [h]" dataDxfId="54" totalsRowDxfId="1"/>
    <tableColumn id="5" name="Total [h]" totalsRowFunction="sum" dataDxfId="53" totalsRowDxfId="0">
      <calculatedColumnFormula>INDIRECT(CONCATENER("'",Semaine[[#This Row],[Semaine]],"'!$G$12"))</calculatedColumnFormula>
    </tableColumn>
  </tableColumns>
  <tableStyleInfo name="Style de tableau 1" showFirstColumn="0" showLastColumn="0" showRowStripes="1" showColumnStripes="0"/>
</table>
</file>

<file path=xl/tables/table2.xml><?xml version="1.0" encoding="utf-8"?>
<table xmlns="http://schemas.openxmlformats.org/spreadsheetml/2006/main" id="6" name="Compte" displayName="Compte" ref="B15:F21" totalsRowCount="1" headerRowDxfId="52" dataDxfId="51">
  <tableColumns count="5">
    <tableColumn id="1" name="Numéro" totalsRowLabel="Total" dataDxfId="50" totalsRowDxfId="9"/>
    <tableColumn id="2" name="Nom du Projet" dataDxfId="49" totalsRowDxfId="8"/>
    <tableColumn id="3" name="Type / Activité" dataDxfId="48" totalsRowDxfId="7"/>
    <tableColumn id="4" name="Détail [h]" totalsRowFunction="sum" dataDxfId="47" totalsRowDxfId="6">
      <calculatedColumnFormula>IF(Compte[[#This Row],[Type / Activité]]="","",SUMPRODUCT(SUMIFS(INDIRECT("'"&amp;Semaine[Semaine]&amp;"'!E9:E1000"), INDIRECT("'"&amp;Semaine[Semaine]&amp;"'!G9:G1000"),CONCATENATE(Compte[[#This Row],[Type / Activité]]),INDIRECT("'"&amp;Semaine[Semaine]&amp;"'!F9:F1000"), CONCATENATE(Compte[[#This Row],[Nom du Projet]]))))</calculatedColumnFormula>
    </tableColumn>
    <tableColumn id="5" name="Total [h]" totalsRowFunction="sum" dataDxfId="46" totalsRowDxfId="5">
      <calculatedColumnFormula>IF(AND(Compte[[#This Row],[Nom du Projet]]&lt;&gt;"",Compte[[#This Row],[Type / Activité]]=""),SUMPRODUCT(SUMIF(INDIRECT("'"&amp;Semaine[Semaine]&amp;"'!F9:F1000"), CONCATENATE(Compte[[#This Row],[Nom du Projet]]), INDIRECT("'"&amp;Semaine[Semaine]&amp;"'!E9:E1000"))),"")</calculatedColumnFormula>
    </tableColumn>
  </tableColumns>
  <tableStyleInfo name="Style de tableau 1" showFirstColumn="0" showLastColumn="0" showRowStripes="1" showColumnStripes="0"/>
</table>
</file>

<file path=xl/tables/table3.xml><?xml version="1.0" encoding="utf-8"?>
<table xmlns="http://schemas.openxmlformats.org/spreadsheetml/2006/main" id="4" name="Week15" displayName="Week15" ref="B14:H21" totalsRowShown="0" headerRowDxfId="23" dataDxfId="22">
  <autoFilter ref="B14:H21"/>
  <tableColumns count="7">
    <tableColumn id="1" name="Date" dataDxfId="21"/>
    <tableColumn id="2" name="De" dataDxfId="20"/>
    <tableColumn id="3" name="À" dataDxfId="19"/>
    <tableColumn id="4" name="[h]" dataDxfId="18"/>
    <tableColumn id="5" name="Projets" dataDxfId="17"/>
    <tableColumn id="6" name="Tâches" dataDxfId="16"/>
    <tableColumn id="7" name="Remarques" dataDxfId="15"/>
  </tableColumns>
  <tableStyleInfo name="Style de tableau 1" showFirstColumn="0" showLastColumn="0" showRowStripes="1" showColumnStripes="0"/>
</table>
</file>

<file path=xl/tables/table4.xml><?xml version="1.0" encoding="utf-8"?>
<table xmlns="http://schemas.openxmlformats.org/spreadsheetml/2006/main" id="5" name="Totals16" displayName="Totals16" ref="F4:G12" totalsRowCount="1" dataDxfId="14">
  <autoFilter ref="F4:G11"/>
  <tableColumns count="2">
    <tableColumn id="1" name="Jour" totalsRowLabel="Total" dataDxfId="12" totalsRowDxfId="13"/>
    <tableColumn id="2" name="Total [h]" totalsRowFunction="sum" dataDxfId="10" totalsRowDxfId="11">
      <calculatedColumnFormula array="1">SUMPRODUCT((INDIRECT("E15"):INDIRECT("E65636"))*(WEEKDAY(INDIRECT("B15"):INDIRECT("B65636"),2)=1))</calculatedColumnFormula>
    </tableColumn>
  </tableColumns>
  <tableStyleInfo name="Style de tableau 1" showFirstColumn="0" showLastColumn="0" showRowStripes="1" showColumnStripes="0"/>
</table>
</file>

<file path=xl/tables/table5.xml><?xml version="1.0" encoding="utf-8"?>
<table xmlns="http://schemas.openxmlformats.org/spreadsheetml/2006/main" id="17" name="FAQ" displayName="FAQ" ref="A1:C2" totalsRowShown="0">
  <tableColumns count="3">
    <tableColumn id="1" name="Projet" dataDxfId="45"/>
    <tableColumn id="2" name="Question" dataDxfId="44"/>
    <tableColumn id="3" name="Réponse" dataDxfId="43"/>
  </tableColumns>
  <tableStyleInfo name="Style de tableau 1" showFirstColumn="0" showLastColumn="0" showRowStripes="1" showColumnStripes="0"/>
</table>
</file>

<file path=xl/tables/table6.xml><?xml version="1.0" encoding="utf-8"?>
<table xmlns="http://schemas.openxmlformats.org/spreadsheetml/2006/main" id="10" name="Projets" displayName="Projets" ref="B5:C7" totalsRowShown="0" headerRowDxfId="42" dataDxfId="41">
  <autoFilter ref="B5:C7"/>
  <sortState ref="B6:C6">
    <sortCondition ref="B5:B6"/>
  </sortState>
  <tableColumns count="2">
    <tableColumn id="1" name="Nom du projet" dataDxfId="40"/>
    <tableColumn id="2" name="Numéro" dataDxfId="39"/>
  </tableColumns>
  <tableStyleInfo name="Style de tableau 1" showFirstColumn="0" showLastColumn="0" showRowStripes="1" showColumnStripes="0"/>
</table>
</file>

<file path=xl/tables/table7.xml><?xml version="1.0" encoding="utf-8"?>
<table xmlns="http://schemas.openxmlformats.org/spreadsheetml/2006/main" id="3" name="Activités" displayName="Activités" ref="E5:E13" totalsRowShown="0">
  <autoFilter ref="E5:E13"/>
  <sortState ref="E6:F7">
    <sortCondition ref="E5:E7"/>
  </sortState>
  <tableColumns count="1">
    <tableColumn id="1" name="Description" dataDxfId="38"/>
  </tableColumns>
  <tableStyleInfo name="Style de tableau 1" showFirstColumn="0" showLastColumn="0" showRowStripes="1" showColumnStripes="0"/>
</table>
</file>

<file path=xl/tables/table8.xml><?xml version="1.0" encoding="utf-8"?>
<table xmlns="http://schemas.openxmlformats.org/spreadsheetml/2006/main" id="1" name="Week1" displayName="Week1" ref="B14:H15" insertRow="1" totalsRowShown="0" headerRowDxfId="37" dataDxfId="36">
  <autoFilter ref="B14:H15"/>
  <tableColumns count="7">
    <tableColumn id="1" name="Date" dataDxfId="35"/>
    <tableColumn id="2" name="De" dataDxfId="34"/>
    <tableColumn id="3" name="À" dataDxfId="33"/>
    <tableColumn id="4" name="[h]" dataDxfId="32"/>
    <tableColumn id="5" name="Projets" dataDxfId="31"/>
    <tableColumn id="6" name="Tâches" dataDxfId="30"/>
    <tableColumn id="7" name="Remarques" dataDxfId="29"/>
  </tableColumns>
  <tableStyleInfo name="Style de tableau 1" showFirstColumn="0" showLastColumn="0" showRowStripes="1" showColumnStripes="0"/>
</table>
</file>

<file path=xl/tables/table9.xml><?xml version="1.0" encoding="utf-8"?>
<table xmlns="http://schemas.openxmlformats.org/spreadsheetml/2006/main" id="8" name="Totals1" displayName="Totals1" ref="F4:G12" totalsRowCount="1" dataDxfId="28">
  <autoFilter ref="F4:G11"/>
  <tableColumns count="2">
    <tableColumn id="1" name="Jour" totalsRowLabel="Total" dataDxfId="27" totalsRowDxfId="26"/>
    <tableColumn id="2" name="Total [h]" totalsRowFunction="sum" dataDxfId="25" totalsRowDxfId="24">
      <calculatedColumnFormula array="1">SUMPRODUCT((INDIRECT("E15"):INDIRECT("E65636"))*(WEEKDAY(INDIRECT("B15"):INDIRECT("B65636"),2)=1))</calculatedColumnFormula>
    </tableColumn>
  </tableColumns>
  <tableStyleInfo name="Style de tableau 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ontrol" Target="../activeX/activeX7.xml"/><Relationship Id="rId7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B2:G27"/>
  <sheetViews>
    <sheetView tabSelected="1" zoomScale="115" zoomScaleNormal="115" workbookViewId="0">
      <selection activeCell="F16" sqref="F16"/>
    </sheetView>
  </sheetViews>
  <sheetFormatPr baseColWidth="10" defaultRowHeight="15" x14ac:dyDescent="0.25"/>
  <cols>
    <col min="2" max="2" width="15.7109375" style="2" customWidth="1"/>
    <col min="3" max="4" width="30.5703125" style="2" customWidth="1"/>
    <col min="5" max="5" width="9" bestFit="1" customWidth="1"/>
    <col min="6" max="6" width="8.42578125" bestFit="1" customWidth="1"/>
    <col min="7" max="7" width="10.7109375" style="14"/>
    <col min="8" max="9" width="15.7109375" customWidth="1"/>
  </cols>
  <sheetData>
    <row r="2" spans="2:7" x14ac:dyDescent="0.25">
      <c r="B2"/>
      <c r="C2"/>
      <c r="D2"/>
    </row>
    <row r="5" spans="2:7" x14ac:dyDescent="0.25">
      <c r="C5"/>
      <c r="D5"/>
    </row>
    <row r="6" spans="2:7" ht="15" customHeight="1" x14ac:dyDescent="0.25">
      <c r="B6" s="18" t="s">
        <v>16</v>
      </c>
      <c r="C6" s="6" t="s">
        <v>40</v>
      </c>
      <c r="D6" s="14"/>
      <c r="E6" s="14"/>
    </row>
    <row r="7" spans="2:7" ht="15" customHeight="1" x14ac:dyDescent="0.25">
      <c r="B7" s="18" t="s">
        <v>17</v>
      </c>
      <c r="C7" s="6" t="s">
        <v>41</v>
      </c>
      <c r="D7" s="14"/>
      <c r="E7" s="14"/>
    </row>
    <row r="8" spans="2:7" ht="15" customHeight="1" x14ac:dyDescent="0.25">
      <c r="B8" s="18" t="s">
        <v>18</v>
      </c>
      <c r="C8" s="19" t="s">
        <v>42</v>
      </c>
      <c r="D8" s="14"/>
      <c r="E8" s="14"/>
      <c r="G8"/>
    </row>
    <row r="9" spans="2:7" x14ac:dyDescent="0.25">
      <c r="G9"/>
    </row>
    <row r="10" spans="2:7" ht="15" customHeight="1" x14ac:dyDescent="0.25">
      <c r="B10" s="52" t="s">
        <v>13</v>
      </c>
      <c r="C10" s="53" t="s">
        <v>26</v>
      </c>
      <c r="D10" s="53" t="s">
        <v>27</v>
      </c>
      <c r="E10" s="54" t="s">
        <v>38</v>
      </c>
      <c r="F10" s="55" t="s">
        <v>20</v>
      </c>
      <c r="G10"/>
    </row>
    <row r="11" spans="2:7" ht="15" customHeight="1" x14ac:dyDescent="0.25">
      <c r="B11" s="21">
        <v>24</v>
      </c>
      <c r="C11" s="20">
        <v>44354</v>
      </c>
      <c r="D11" s="20">
        <v>44360</v>
      </c>
      <c r="E11" s="28"/>
      <c r="F11" s="56" t="e">
        <f ca="1">INDIRECT(CONCATENER("'",Semaine[[#This Row],[Semaine]],"'!$G$12"))</f>
        <v>#NAME?</v>
      </c>
      <c r="G11"/>
    </row>
    <row r="12" spans="2:7" x14ac:dyDescent="0.25">
      <c r="B12" s="29" t="s">
        <v>19</v>
      </c>
      <c r="C12" s="29"/>
      <c r="D12" s="29"/>
      <c r="E12" s="28"/>
      <c r="F12" s="39" t="e">
        <f ca="1">SUBTOTAL(109,Semaine[Total '[h']])</f>
        <v>#NAME?</v>
      </c>
      <c r="G12"/>
    </row>
    <row r="13" spans="2:7" x14ac:dyDescent="0.25">
      <c r="G13"/>
    </row>
    <row r="14" spans="2:7" x14ac:dyDescent="0.25">
      <c r="G14"/>
    </row>
    <row r="15" spans="2:7" x14ac:dyDescent="0.25">
      <c r="B15" s="2" t="s">
        <v>11</v>
      </c>
      <c r="C15" s="7" t="s">
        <v>4</v>
      </c>
      <c r="D15" s="7" t="s">
        <v>14</v>
      </c>
      <c r="E15" s="15" t="s">
        <v>38</v>
      </c>
      <c r="F15" s="2" t="s">
        <v>20</v>
      </c>
      <c r="G15"/>
    </row>
    <row r="16" spans="2:7" x14ac:dyDescent="0.25">
      <c r="B16" s="57">
        <v>2008</v>
      </c>
      <c r="C16" s="58" t="s">
        <v>43</v>
      </c>
      <c r="D16" s="59"/>
      <c r="E16" s="36" t="str">
        <f ca="1">IF(Compte[[#This Row],[Type / Activité]]="","",SUMPRODUCT(SUMIFS(INDIRECT("'"&amp;Semaine[Semaine]&amp;"'!E9:E1000"), INDIRECT("'"&amp;Semaine[Semaine]&amp;"'!G9:G1000"),CONCATENATE(Compte[[#This Row],[Type / Activité]]),INDIRECT("'"&amp;Semaine[Semaine]&amp;"'!F9:F1000"), CONCATENATE(Compte[[#This Row],[Nom du Projet]]))))</f>
        <v/>
      </c>
      <c r="F16" s="36">
        <f ca="1">IF(AND(Compte[[#This Row],[Nom du Projet]]&lt;&gt;"",Compte[[#This Row],[Type / Activité]]=""),SUMPRODUCT(SUMIF(INDIRECT("'"&amp;Semaine[Semaine]&amp;"'!F9:F1000"), CONCATENATE(Compte[[#This Row],[Nom du Projet]]), INDIRECT("'"&amp;Semaine[Semaine]&amp;"'!E9:E1000"))),"")</f>
        <v>0.85416666666666674</v>
      </c>
      <c r="G16"/>
    </row>
    <row r="17" spans="2:7" x14ac:dyDescent="0.25">
      <c r="B17" s="60">
        <v>2008</v>
      </c>
      <c r="C17" s="38" t="s">
        <v>43</v>
      </c>
      <c r="D17" s="61" t="s">
        <v>44</v>
      </c>
      <c r="E17" s="37">
        <f ca="1">IF(Compte[[#This Row],[Type / Activité]]="","",SUMPRODUCT(SUMIFS(INDIRECT("'"&amp;Semaine[Semaine]&amp;"'!E9:E1000"), INDIRECT("'"&amp;Semaine[Semaine]&amp;"'!G9:G1000"),CONCATENATE(Compte[[#This Row],[Type / Activité]]),INDIRECT("'"&amp;Semaine[Semaine]&amp;"'!F9:F1000"), CONCATENATE(Compte[[#This Row],[Nom du Projet]]))))</f>
        <v>0.3263888888888889</v>
      </c>
      <c r="F17" s="37" t="str">
        <f ca="1">IF(AND(Compte[[#This Row],[Nom du Projet]]&lt;&gt;"",Compte[[#This Row],[Type / Activité]]=""),SUMPRODUCT(SUMIF(INDIRECT("'"&amp;Semaine[Semaine]&amp;"'!F9:F1000"), CONCATENATE(Compte[[#This Row],[Nom du Projet]]), INDIRECT("'"&amp;Semaine[Semaine]&amp;"'!E9:E1000"))),"")</f>
        <v/>
      </c>
      <c r="G17"/>
    </row>
    <row r="18" spans="2:7" x14ac:dyDescent="0.25">
      <c r="B18" s="60">
        <v>2008</v>
      </c>
      <c r="C18" s="38" t="s">
        <v>43</v>
      </c>
      <c r="D18" s="61" t="s">
        <v>45</v>
      </c>
      <c r="E18" s="37">
        <f ca="1">IF(Compte[[#This Row],[Type / Activité]]="","",SUMPRODUCT(SUMIFS(INDIRECT("'"&amp;Semaine[Semaine]&amp;"'!E9:E1000"), INDIRECT("'"&amp;Semaine[Semaine]&amp;"'!G9:G1000"),CONCATENATE(Compte[[#This Row],[Type / Activité]]),INDIRECT("'"&amp;Semaine[Semaine]&amp;"'!F9:F1000"), CONCATENATE(Compte[[#This Row],[Nom du Projet]]))))</f>
        <v>0.24305555555555552</v>
      </c>
      <c r="F18" s="37" t="str">
        <f ca="1">IF(AND(Compte[[#This Row],[Nom du Projet]]&lt;&gt;"",Compte[[#This Row],[Type / Activité]]=""),SUMPRODUCT(SUMIF(INDIRECT("'"&amp;Semaine[Semaine]&amp;"'!F9:F1000"), CONCATENATE(Compte[[#This Row],[Nom du Projet]]), INDIRECT("'"&amp;Semaine[Semaine]&amp;"'!E9:E1000"))),"")</f>
        <v/>
      </c>
      <c r="G18"/>
    </row>
    <row r="19" spans="2:7" x14ac:dyDescent="0.25">
      <c r="B19" s="60">
        <v>2008</v>
      </c>
      <c r="C19" s="38" t="s">
        <v>43</v>
      </c>
      <c r="D19" s="61" t="s">
        <v>46</v>
      </c>
      <c r="E19" s="37">
        <f ca="1">IF(Compte[[#This Row],[Type / Activité]]="","",SUMPRODUCT(SUMIFS(INDIRECT("'"&amp;Semaine[Semaine]&amp;"'!E9:E1000"), INDIRECT("'"&amp;Semaine[Semaine]&amp;"'!G9:G1000"),CONCATENATE(Compte[[#This Row],[Type / Activité]]),INDIRECT("'"&amp;Semaine[Semaine]&amp;"'!F9:F1000"), CONCATENATE(Compte[[#This Row],[Nom du Projet]]))))</f>
        <v>0.1423611111111111</v>
      </c>
      <c r="F19" s="37" t="str">
        <f ca="1">IF(AND(Compte[[#This Row],[Nom du Projet]]&lt;&gt;"",Compte[[#This Row],[Type / Activité]]=""),SUMPRODUCT(SUMIF(INDIRECT("'"&amp;Semaine[Semaine]&amp;"'!F9:F1000"), CONCATENATE(Compte[[#This Row],[Nom du Projet]]), INDIRECT("'"&amp;Semaine[Semaine]&amp;"'!E9:E1000"))),"")</f>
        <v/>
      </c>
      <c r="G19"/>
    </row>
    <row r="20" spans="2:7" x14ac:dyDescent="0.25">
      <c r="B20" s="60">
        <v>2008</v>
      </c>
      <c r="C20" s="38" t="s">
        <v>43</v>
      </c>
      <c r="D20" s="61" t="s">
        <v>49</v>
      </c>
      <c r="E20" s="37">
        <f ca="1">IF(Compte[[#This Row],[Type / Activité]]="","",SUMPRODUCT(SUMIFS(INDIRECT("'"&amp;Semaine[Semaine]&amp;"'!E9:E1000"), INDIRECT("'"&amp;Semaine[Semaine]&amp;"'!G9:G1000"),CONCATENATE(Compte[[#This Row],[Type / Activité]]),INDIRECT("'"&amp;Semaine[Semaine]&amp;"'!F9:F1000"), CONCATENATE(Compte[[#This Row],[Nom du Projet]]))))</f>
        <v>0.1423611111111111</v>
      </c>
      <c r="F20" s="37" t="str">
        <f ca="1">IF(AND(Compte[[#This Row],[Nom du Projet]]&lt;&gt;"",Compte[[#This Row],[Type / Activité]]=""),SUMPRODUCT(SUMIF(INDIRECT("'"&amp;Semaine[Semaine]&amp;"'!F9:F1000"), CONCATENATE(Compte[[#This Row],[Nom du Projet]]), INDIRECT("'"&amp;Semaine[Semaine]&amp;"'!E9:E1000"))),"")</f>
        <v/>
      </c>
      <c r="G20" s="33"/>
    </row>
    <row r="21" spans="2:7" x14ac:dyDescent="0.25">
      <c r="B21" s="34" t="s">
        <v>19</v>
      </c>
      <c r="C21" s="35"/>
      <c r="D21" s="34"/>
      <c r="E21" s="36">
        <f ca="1">SUBTOTAL(109,Compte[Détail '[h']])</f>
        <v>0.85416666666666674</v>
      </c>
      <c r="F21" s="39">
        <f ca="1">SUBTOTAL(109,Compte[Total '[h']])</f>
        <v>0.85416666666666674</v>
      </c>
      <c r="G21"/>
    </row>
    <row r="22" spans="2:7" x14ac:dyDescent="0.25">
      <c r="G22"/>
    </row>
    <row r="23" spans="2:7" x14ac:dyDescent="0.25">
      <c r="G23"/>
    </row>
    <row r="24" spans="2:7" x14ac:dyDescent="0.25">
      <c r="G24"/>
    </row>
    <row r="25" spans="2:7" x14ac:dyDescent="0.25">
      <c r="G25"/>
    </row>
    <row r="26" spans="2:7" x14ac:dyDescent="0.25">
      <c r="G26"/>
    </row>
    <row r="27" spans="2:7" x14ac:dyDescent="0.25">
      <c r="G27"/>
    </row>
  </sheetData>
  <phoneticPr fontId="6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  <headerFooter>
    <oddHeader>&amp;L&amp;"ETML,Normal"&amp;18ETML&amp;R&amp;12&amp;D&amp;CJournal de travail</oddHeader>
    <oddFooter>&amp;CPage &amp;P / &amp;N</oddFooter>
  </headerFooter>
  <drawing r:id="rId2"/>
  <legacyDrawing r:id="rId3"/>
  <controls>
    <mc:AlternateContent xmlns:mc="http://schemas.openxmlformats.org/markup-compatibility/2006">
      <mc:Choice Requires="x14">
        <control shapeId="1124" r:id="rId4" name="btnFilter">
          <controlPr defaultSize="0" autoLine="0" autoPict="0" r:id="rId5">
            <anchor moveWithCells="1">
              <from>
                <xdr:col>2</xdr:col>
                <xdr:colOff>495300</xdr:colOff>
                <xdr:row>2</xdr:row>
                <xdr:rowOff>85725</xdr:rowOff>
              </from>
              <to>
                <xdr:col>2</xdr:col>
                <xdr:colOff>2028825</xdr:colOff>
                <xdr:row>4</xdr:row>
                <xdr:rowOff>9525</xdr:rowOff>
              </to>
            </anchor>
          </controlPr>
        </control>
      </mc:Choice>
      <mc:Fallback>
        <control shapeId="1124" r:id="rId4" name="btnFilter"/>
      </mc:Fallback>
    </mc:AlternateContent>
    <mc:AlternateContent xmlns:mc="http://schemas.openxmlformats.org/markup-compatibility/2006">
      <mc:Choice Requires="x14">
        <control shapeId="1118" r:id="rId6" name="btnWeek">
          <controlPr defaultSize="0" autoLine="0" r:id="rId7">
            <anchor moveWithCells="1">
              <from>
                <xdr:col>3</xdr:col>
                <xdr:colOff>104775</xdr:colOff>
                <xdr:row>2</xdr:row>
                <xdr:rowOff>66675</xdr:rowOff>
              </from>
              <to>
                <xdr:col>3</xdr:col>
                <xdr:colOff>1638300</xdr:colOff>
                <xdr:row>4</xdr:row>
                <xdr:rowOff>0</xdr:rowOff>
              </to>
            </anchor>
          </controlPr>
        </control>
      </mc:Choice>
      <mc:Fallback>
        <control shapeId="1118" r:id="rId6" name="btnWeek"/>
      </mc:Fallback>
    </mc:AlternateContent>
    <mc:AlternateContent xmlns:mc="http://schemas.openxmlformats.org/markup-compatibility/2006">
      <mc:Choice Requires="x14">
        <control shapeId="1057" r:id="rId8" name="btnPDF">
          <controlPr defaultSize="0" autoLine="0" autoPict="0" r:id="rId9">
            <anchor moveWithCells="1">
              <from>
                <xdr:col>0</xdr:col>
                <xdr:colOff>762000</xdr:colOff>
                <xdr:row>2</xdr:row>
                <xdr:rowOff>85725</xdr:rowOff>
              </from>
              <to>
                <xdr:col>2</xdr:col>
                <xdr:colOff>371475</xdr:colOff>
                <xdr:row>4</xdr:row>
                <xdr:rowOff>0</xdr:rowOff>
              </to>
            </anchor>
          </controlPr>
        </control>
      </mc:Choice>
      <mc:Fallback>
        <control shapeId="1057" r:id="rId8" name="btnPDF"/>
      </mc:Fallback>
    </mc:AlternateContent>
  </controls>
  <tableParts count="2"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B3:N47"/>
  <sheetViews>
    <sheetView zoomScaleNormal="100" workbookViewId="0">
      <selection activeCell="J7" sqref="J7"/>
    </sheetView>
  </sheetViews>
  <sheetFormatPr baseColWidth="10" defaultRowHeight="15" x14ac:dyDescent="0.25"/>
  <cols>
    <col min="2" max="2" width="11.7109375" style="1" customWidth="1"/>
    <col min="3" max="4" width="6.28515625" style="2" customWidth="1"/>
    <col min="5" max="5" width="6.28515625" style="3" customWidth="1"/>
    <col min="6" max="7" width="24.7109375" style="3" customWidth="1"/>
    <col min="8" max="8" width="40.7109375" style="9" customWidth="1"/>
    <col min="9" max="9" width="1.5703125" style="5" customWidth="1"/>
    <col min="10" max="10" width="9.85546875" style="2" bestFit="1" customWidth="1"/>
    <col min="11" max="11" width="13" style="12" bestFit="1" customWidth="1"/>
    <col min="12" max="12" width="10.7109375" style="2" customWidth="1"/>
    <col min="13" max="13" width="7.5703125" style="2" customWidth="1"/>
    <col min="14" max="14" width="10.7109375" style="2" customWidth="1"/>
  </cols>
  <sheetData>
    <row r="3" spans="2:11" ht="18.75" x14ac:dyDescent="0.3">
      <c r="H3" s="11"/>
    </row>
    <row r="4" spans="2:11" x14ac:dyDescent="0.25">
      <c r="B4" s="27"/>
      <c r="C4" s="24" t="s">
        <v>39</v>
      </c>
      <c r="F4" s="10" t="s">
        <v>25</v>
      </c>
      <c r="G4" s="13" t="s">
        <v>20</v>
      </c>
      <c r="H4" s="8"/>
    </row>
    <row r="5" spans="2:11" x14ac:dyDescent="0.25">
      <c r="B5" s="26"/>
      <c r="C5" s="24" t="s">
        <v>26</v>
      </c>
      <c r="F5" s="15" t="s">
        <v>9</v>
      </c>
      <c r="G5" s="23" cm="1">
        <f t="array" aca="1" ref="G5" ca="1">SUMPRODUCT((INDIRECT("E15"):INDIRECT("E65636"))*(WEEKDAY(INDIRECT("B15"):INDIRECT("B65636"),2)=1))</f>
        <v>0</v>
      </c>
      <c r="H5" s="8"/>
    </row>
    <row r="6" spans="2:11" x14ac:dyDescent="0.25">
      <c r="B6" s="26"/>
      <c r="C6" s="48" t="s">
        <v>27</v>
      </c>
      <c r="F6" s="15" t="s">
        <v>5</v>
      </c>
      <c r="G6" s="23" cm="1">
        <f t="array" aca="1" ref="G6" ca="1">SUMPRODUCT((INDIRECT("E15"):INDIRECT("E65636"))*(WEEKDAY(INDIRECT("B15"):INDIRECT("B65636"),2)=2))</f>
        <v>0</v>
      </c>
      <c r="H6" s="8"/>
    </row>
    <row r="7" spans="2:11" x14ac:dyDescent="0.25">
      <c r="B7" s="47"/>
      <c r="C7" s="49"/>
      <c r="F7" s="15" t="s">
        <v>6</v>
      </c>
      <c r="G7" s="23" cm="1">
        <f t="array" aca="1" ref="G7" ca="1">SUMPRODUCT((INDIRECT("E15"):INDIRECT("E65636"))*(WEEKDAY(INDIRECT("B15"):INDIRECT("B65636"),2)=3))</f>
        <v>0</v>
      </c>
      <c r="H7" s="8"/>
    </row>
    <row r="8" spans="2:11" x14ac:dyDescent="0.25">
      <c r="B8" s="47"/>
      <c r="C8" s="49"/>
      <c r="F8" s="15" t="s">
        <v>7</v>
      </c>
      <c r="G8" s="23" cm="1">
        <f t="array" aca="1" ref="G8" ca="1">SUMPRODUCT((INDIRECT("E15"):INDIRECT("E65636"))*(WEEKDAY(INDIRECT("B15"):INDIRECT("B65636"),2)=4))</f>
        <v>0</v>
      </c>
      <c r="H8" s="8"/>
    </row>
    <row r="9" spans="2:11" x14ac:dyDescent="0.25">
      <c r="B9" s="47"/>
      <c r="C9" s="49"/>
      <c r="F9" s="15" t="s">
        <v>8</v>
      </c>
      <c r="G9" s="23" cm="1">
        <f t="array" aca="1" ref="G9" ca="1">SUMPRODUCT((INDIRECT("E15"):INDIRECT("E65636"))*(WEEKDAY(INDIRECT("B15"):INDIRECT("B65636"),2)=5))</f>
        <v>0.85416666666666674</v>
      </c>
      <c r="H9" s="8"/>
    </row>
    <row r="10" spans="2:11" x14ac:dyDescent="0.25">
      <c r="B10" s="47"/>
      <c r="C10" s="49"/>
      <c r="F10" s="15" t="s">
        <v>23</v>
      </c>
      <c r="G10" s="23" cm="1">
        <f t="array" aca="1" ref="G10" ca="1">SUMPRODUCT((INDIRECT("E15"):INDIRECT("E65636"))*(WEEKDAY(INDIRECT("B15"):INDIRECT("B65636"),2)=6))</f>
        <v>0</v>
      </c>
      <c r="H10" s="8"/>
    </row>
    <row r="11" spans="2:11" x14ac:dyDescent="0.25">
      <c r="B11" s="47"/>
      <c r="C11" s="49"/>
      <c r="F11" s="15" t="s">
        <v>24</v>
      </c>
      <c r="G11" s="23" cm="1">
        <f t="array" aca="1" ref="G11" ca="1">SUMPRODUCT((INDIRECT("E15"):INDIRECT("E65636"))*(WEEKDAY(INDIRECT("B15"):INDIRECT("B65636"),2)=7))</f>
        <v>0</v>
      </c>
      <c r="H11" s="8"/>
    </row>
    <row r="12" spans="2:11" x14ac:dyDescent="0.25">
      <c r="B12" s="47"/>
      <c r="C12" s="49"/>
      <c r="F12" s="15" t="s">
        <v>19</v>
      </c>
      <c r="G12" s="23">
        <f ca="1">SUBTOTAL(109,Totals16[Total '[h']])</f>
        <v>0.85416666666666674</v>
      </c>
      <c r="H12" s="8"/>
    </row>
    <row r="14" spans="2:11" x14ac:dyDescent="0.25">
      <c r="B14" s="1" t="s">
        <v>1</v>
      </c>
      <c r="C14" s="3" t="s">
        <v>28</v>
      </c>
      <c r="D14" s="3" t="s">
        <v>29</v>
      </c>
      <c r="E14" s="3" t="s">
        <v>30</v>
      </c>
      <c r="F14" s="2" t="s">
        <v>0</v>
      </c>
      <c r="G14" s="2" t="s">
        <v>2</v>
      </c>
      <c r="H14" s="22" t="s">
        <v>15</v>
      </c>
      <c r="J14" s="50"/>
      <c r="K14" s="51"/>
    </row>
    <row r="15" spans="2:11" s="2" customFormat="1" x14ac:dyDescent="0.25">
      <c r="B15" s="40">
        <v>44316</v>
      </c>
      <c r="C15" s="62">
        <v>0.33333333333333331</v>
      </c>
      <c r="D15" s="62">
        <v>0.47569444444444442</v>
      </c>
      <c r="E15" s="62">
        <v>0.1423611111111111</v>
      </c>
      <c r="F15" s="63" t="s">
        <v>43</v>
      </c>
      <c r="G15" s="63" t="s">
        <v>44</v>
      </c>
      <c r="H15" s="64" t="s">
        <v>50</v>
      </c>
      <c r="I15" s="5"/>
      <c r="J15" s="15"/>
      <c r="K15" s="23"/>
    </row>
    <row r="16" spans="2:11" s="2" customFormat="1" ht="30" x14ac:dyDescent="0.25">
      <c r="B16" s="40">
        <v>44323</v>
      </c>
      <c r="C16" s="62">
        <v>0.33333333333333331</v>
      </c>
      <c r="D16" s="62">
        <v>0.47569444444444442</v>
      </c>
      <c r="E16" s="62">
        <v>0.1423611111111111</v>
      </c>
      <c r="F16" s="63" t="s">
        <v>43</v>
      </c>
      <c r="G16" s="63" t="s">
        <v>44</v>
      </c>
      <c r="H16" s="64" t="s">
        <v>51</v>
      </c>
      <c r="I16" s="5"/>
      <c r="J16" s="15"/>
      <c r="K16" s="23"/>
    </row>
    <row r="17" spans="2:14" s="2" customFormat="1" x14ac:dyDescent="0.25">
      <c r="B17" s="40">
        <v>44337</v>
      </c>
      <c r="C17" s="62">
        <v>0.33333333333333331</v>
      </c>
      <c r="D17" s="62">
        <v>0.375</v>
      </c>
      <c r="E17" s="62">
        <v>4.1666666666666685E-2</v>
      </c>
      <c r="F17" s="63" t="s">
        <v>43</v>
      </c>
      <c r="G17" s="63" t="s">
        <v>44</v>
      </c>
      <c r="H17" s="64" t="s">
        <v>52</v>
      </c>
      <c r="I17" s="5"/>
      <c r="J17" s="15"/>
      <c r="K17" s="23"/>
    </row>
    <row r="18" spans="2:14" s="2" customFormat="1" ht="60" x14ac:dyDescent="0.25">
      <c r="B18" s="68">
        <v>44337</v>
      </c>
      <c r="C18" s="69">
        <v>0.375</v>
      </c>
      <c r="D18" s="69">
        <v>0.47569444444444442</v>
      </c>
      <c r="E18" s="69">
        <v>0.10069444444444442</v>
      </c>
      <c r="F18" s="70" t="s">
        <v>43</v>
      </c>
      <c r="G18" s="70" t="s">
        <v>45</v>
      </c>
      <c r="H18" s="71" t="s">
        <v>55</v>
      </c>
      <c r="I18" s="5"/>
      <c r="J18" s="15"/>
      <c r="K18" s="23"/>
    </row>
    <row r="19" spans="2:14" s="2" customFormat="1" ht="30" x14ac:dyDescent="0.25">
      <c r="B19" s="65">
        <v>44344</v>
      </c>
      <c r="C19" s="66">
        <v>0.33333333333333331</v>
      </c>
      <c r="D19" s="66">
        <v>0.47569444444444442</v>
      </c>
      <c r="E19" s="66">
        <v>0.1423611111111111</v>
      </c>
      <c r="F19" s="67" t="s">
        <v>43</v>
      </c>
      <c r="G19" s="67" t="s">
        <v>46</v>
      </c>
      <c r="H19" s="67" t="s">
        <v>53</v>
      </c>
      <c r="I19" s="5"/>
      <c r="J19" s="15"/>
      <c r="K19" s="23"/>
    </row>
    <row r="20" spans="2:14" s="2" customFormat="1" ht="45" x14ac:dyDescent="0.25">
      <c r="B20" s="68">
        <v>44351</v>
      </c>
      <c r="C20" s="69">
        <v>0.33333333333333331</v>
      </c>
      <c r="D20" s="69">
        <v>0.47569444444444442</v>
      </c>
      <c r="E20" s="69">
        <v>0.1423611111111111</v>
      </c>
      <c r="F20" s="70" t="s">
        <v>43</v>
      </c>
      <c r="G20" s="70" t="s">
        <v>45</v>
      </c>
      <c r="H20" s="70" t="s">
        <v>54</v>
      </c>
      <c r="I20" s="5"/>
      <c r="J20" s="15"/>
      <c r="K20" s="23"/>
    </row>
    <row r="21" spans="2:14" s="2" customFormat="1" ht="30" x14ac:dyDescent="0.25">
      <c r="B21" s="65">
        <v>44358</v>
      </c>
      <c r="C21" s="66">
        <v>0.33333333333333331</v>
      </c>
      <c r="D21" s="66">
        <v>0.47569444444444442</v>
      </c>
      <c r="E21" s="66">
        <v>0.1423611111111111</v>
      </c>
      <c r="F21" s="67" t="s">
        <v>43</v>
      </c>
      <c r="G21" s="67" t="s">
        <v>49</v>
      </c>
      <c r="H21" s="67" t="s">
        <v>56</v>
      </c>
      <c r="I21" s="5"/>
      <c r="J21" s="15"/>
      <c r="K21" s="23"/>
    </row>
    <row r="22" spans="2:14" s="2" customFormat="1" x14ac:dyDescent="0.25">
      <c r="I22" s="5"/>
      <c r="K22" s="12"/>
    </row>
    <row r="23" spans="2:14" s="2" customFormat="1" x14ac:dyDescent="0.25">
      <c r="I23" s="5"/>
      <c r="K23" s="12"/>
    </row>
    <row r="24" spans="2:14" s="2" customFormat="1" x14ac:dyDescent="0.25">
      <c r="I24" s="5"/>
      <c r="K24" s="12"/>
    </row>
    <row r="25" spans="2:14" s="2" customFormat="1" x14ac:dyDescent="0.25">
      <c r="I25" s="5"/>
      <c r="K25" s="12"/>
    </row>
    <row r="26" spans="2:14" s="2" customFormat="1" x14ac:dyDescent="0.25">
      <c r="B26" s="44"/>
      <c r="C26" s="15"/>
      <c r="D26" s="15"/>
      <c r="E26" s="45"/>
      <c r="F26" s="45"/>
      <c r="G26" s="45"/>
      <c r="H26" s="46"/>
      <c r="I26" s="5"/>
      <c r="K26" s="12"/>
    </row>
    <row r="27" spans="2:14" s="2" customFormat="1" x14ac:dyDescent="0.25">
      <c r="B27" s="44"/>
      <c r="C27" s="15"/>
      <c r="D27" s="15"/>
      <c r="E27" s="45"/>
      <c r="F27" s="45"/>
      <c r="G27" s="45"/>
      <c r="H27" s="46"/>
      <c r="I27" s="5"/>
      <c r="K27" s="12"/>
    </row>
    <row r="28" spans="2:14" s="2" customFormat="1" ht="15" customHeight="1" x14ac:dyDescent="0.25">
      <c r="B28" s="44"/>
      <c r="C28" s="15"/>
      <c r="D28" s="15"/>
      <c r="E28" s="45"/>
      <c r="F28" s="45"/>
      <c r="G28" s="45"/>
      <c r="H28" s="46"/>
      <c r="I28" s="5"/>
      <c r="K28" s="12"/>
    </row>
    <row r="29" spans="2:14" s="2" customFormat="1" ht="15" customHeight="1" x14ac:dyDescent="0.25">
      <c r="B29" s="44"/>
      <c r="C29" s="15"/>
      <c r="D29" s="15"/>
      <c r="E29" s="45"/>
      <c r="F29" s="45"/>
      <c r="G29" s="45"/>
      <c r="H29" s="46"/>
      <c r="I29" s="5"/>
      <c r="K29" s="12"/>
    </row>
    <row r="30" spans="2:14" s="2" customFormat="1" ht="15" customHeight="1" x14ac:dyDescent="0.25">
      <c r="B30" s="44"/>
      <c r="C30" s="15"/>
      <c r="D30" s="15"/>
      <c r="E30" s="45"/>
      <c r="F30" s="45"/>
      <c r="G30" s="45"/>
      <c r="H30" s="46"/>
      <c r="I30" s="5"/>
      <c r="K30" s="12"/>
    </row>
    <row r="31" spans="2:14" s="2" customFormat="1" ht="15" customHeight="1" x14ac:dyDescent="0.25">
      <c r="B31" s="44"/>
      <c r="C31" s="15"/>
      <c r="D31" s="15"/>
      <c r="E31" s="45"/>
      <c r="F31" s="45"/>
      <c r="G31" s="45"/>
      <c r="H31" s="46"/>
      <c r="I31" s="5"/>
      <c r="K31" s="12"/>
    </row>
    <row r="32" spans="2:14" s="5" customFormat="1" ht="15" customHeight="1" x14ac:dyDescent="0.25">
      <c r="B32" s="44"/>
      <c r="C32" s="15"/>
      <c r="D32" s="15"/>
      <c r="E32" s="45"/>
      <c r="F32" s="45"/>
      <c r="G32" s="45"/>
      <c r="H32" s="46"/>
      <c r="J32" s="2"/>
      <c r="K32" s="12"/>
      <c r="L32" s="2"/>
      <c r="M32" s="2"/>
      <c r="N32" s="2"/>
    </row>
    <row r="33" spans="2:14" s="5" customFormat="1" ht="15" customHeight="1" x14ac:dyDescent="0.25">
      <c r="B33" s="44"/>
      <c r="C33" s="15"/>
      <c r="D33" s="15"/>
      <c r="E33" s="45"/>
      <c r="F33" s="45"/>
      <c r="G33" s="45"/>
      <c r="H33" s="46"/>
      <c r="J33" s="2"/>
      <c r="K33" s="12"/>
      <c r="L33" s="2"/>
      <c r="M33" s="2"/>
      <c r="N33" s="2"/>
    </row>
    <row r="34" spans="2:14" s="5" customFormat="1" ht="15" customHeight="1" x14ac:dyDescent="0.25">
      <c r="B34" s="44"/>
      <c r="C34" s="15"/>
      <c r="D34" s="15"/>
      <c r="E34" s="45"/>
      <c r="F34" s="45"/>
      <c r="G34" s="45"/>
      <c r="H34" s="46"/>
      <c r="J34" s="2"/>
      <c r="K34" s="12"/>
      <c r="L34" s="2"/>
      <c r="M34" s="2"/>
      <c r="N34" s="2"/>
    </row>
    <row r="35" spans="2:14" s="5" customFormat="1" x14ac:dyDescent="0.25">
      <c r="B35" s="44"/>
      <c r="C35" s="15"/>
      <c r="D35" s="15"/>
      <c r="E35" s="45"/>
      <c r="F35" s="45"/>
      <c r="G35" s="45"/>
      <c r="H35" s="46"/>
      <c r="J35" s="2"/>
      <c r="K35" s="12"/>
      <c r="L35" s="2"/>
      <c r="M35" s="2"/>
      <c r="N35" s="2"/>
    </row>
    <row r="36" spans="2:14" s="5" customFormat="1" x14ac:dyDescent="0.25">
      <c r="B36" s="44"/>
      <c r="C36" s="15"/>
      <c r="D36" s="15"/>
      <c r="E36" s="45"/>
      <c r="F36" s="45"/>
      <c r="G36" s="45"/>
      <c r="H36" s="46"/>
      <c r="J36" s="2"/>
      <c r="K36" s="12"/>
      <c r="L36" s="2"/>
      <c r="M36" s="2"/>
      <c r="N36" s="2"/>
    </row>
    <row r="37" spans="2:14" s="5" customFormat="1" x14ac:dyDescent="0.25">
      <c r="B37" s="44"/>
      <c r="C37" s="15"/>
      <c r="D37" s="15"/>
      <c r="E37" s="45"/>
      <c r="F37" s="45"/>
      <c r="G37" s="45"/>
      <c r="H37" s="46"/>
      <c r="J37" s="2"/>
      <c r="K37" s="12"/>
      <c r="L37" s="2"/>
      <c r="M37" s="2"/>
      <c r="N37" s="2"/>
    </row>
    <row r="38" spans="2:14" s="5" customFormat="1" x14ac:dyDescent="0.25">
      <c r="B38" s="44"/>
      <c r="C38" s="15"/>
      <c r="D38" s="15"/>
      <c r="E38" s="45"/>
      <c r="F38" s="45"/>
      <c r="G38" s="45"/>
      <c r="H38" s="46"/>
      <c r="J38" s="2"/>
      <c r="K38" s="12"/>
      <c r="L38" s="2"/>
      <c r="M38" s="2"/>
      <c r="N38" s="2"/>
    </row>
    <row r="39" spans="2:14" s="5" customFormat="1" x14ac:dyDescent="0.25">
      <c r="B39" s="44"/>
      <c r="C39" s="15"/>
      <c r="D39" s="15"/>
      <c r="E39" s="45"/>
      <c r="F39" s="45"/>
      <c r="G39" s="45"/>
      <c r="H39" s="46"/>
      <c r="J39" s="2"/>
      <c r="K39" s="12"/>
      <c r="L39" s="2"/>
      <c r="M39" s="2"/>
      <c r="N39" s="2"/>
    </row>
    <row r="40" spans="2:14" s="5" customFormat="1" x14ac:dyDescent="0.25">
      <c r="B40" s="44"/>
      <c r="C40" s="15"/>
      <c r="D40" s="15"/>
      <c r="E40" s="45"/>
      <c r="F40" s="45"/>
      <c r="G40" s="45"/>
      <c r="H40" s="46"/>
      <c r="J40" s="2"/>
      <c r="K40" s="12"/>
      <c r="L40" s="2"/>
      <c r="M40" s="2"/>
      <c r="N40" s="2"/>
    </row>
    <row r="41" spans="2:14" x14ac:dyDescent="0.25">
      <c r="B41" s="44"/>
      <c r="C41" s="15"/>
      <c r="D41" s="15"/>
      <c r="E41" s="45"/>
      <c r="F41" s="45"/>
      <c r="G41" s="45"/>
      <c r="H41" s="46"/>
    </row>
    <row r="42" spans="2:14" x14ac:dyDescent="0.25">
      <c r="B42" s="44"/>
      <c r="C42" s="15"/>
      <c r="D42" s="15"/>
      <c r="E42" s="45"/>
      <c r="F42" s="45"/>
      <c r="G42" s="45"/>
      <c r="H42" s="46"/>
    </row>
    <row r="43" spans="2:14" x14ac:dyDescent="0.25">
      <c r="B43" s="44"/>
      <c r="C43" s="15"/>
      <c r="D43" s="15"/>
      <c r="E43" s="45"/>
      <c r="F43" s="45"/>
      <c r="G43" s="45"/>
      <c r="H43" s="46"/>
    </row>
    <row r="44" spans="2:14" x14ac:dyDescent="0.25">
      <c r="B44" s="44"/>
      <c r="C44" s="15"/>
      <c r="D44" s="15"/>
      <c r="E44" s="45"/>
      <c r="F44" s="45"/>
      <c r="G44" s="45"/>
      <c r="H44" s="46"/>
    </row>
    <row r="45" spans="2:14" x14ac:dyDescent="0.25">
      <c r="B45" s="44"/>
      <c r="C45" s="15"/>
      <c r="D45" s="15"/>
      <c r="E45" s="45"/>
      <c r="F45" s="45"/>
      <c r="G45" s="45"/>
      <c r="H45" s="46"/>
    </row>
    <row r="46" spans="2:14" x14ac:dyDescent="0.25">
      <c r="B46" s="44"/>
      <c r="C46" s="15"/>
      <c r="D46" s="15"/>
      <c r="E46" s="45"/>
      <c r="F46" s="45"/>
      <c r="G46" s="45"/>
      <c r="H46" s="46"/>
    </row>
    <row r="47" spans="2:14" x14ac:dyDescent="0.25">
      <c r="B47" s="44"/>
      <c r="C47" s="15"/>
      <c r="D47" s="15"/>
      <c r="E47" s="45"/>
      <c r="F47" s="45"/>
      <c r="G47" s="45"/>
      <c r="H47" s="46"/>
    </row>
  </sheetData>
  <dataConsolidate/>
  <pageMargins left="0.70866141732283472" right="0.70866141732283472" top="0.74803149606299213" bottom="0.74803149606299213" header="0.31496062992125984" footer="0.31496062992125984"/>
  <pageSetup paperSize="9" scale="72" fitToHeight="0" orientation="portrait" r:id="rId1"/>
  <headerFooter>
    <oddHeader>&amp;L&amp;"ETML,Normal"&amp;18ETML&amp;C&amp;14Journal de travail&amp;R&amp;D</oddHeader>
    <oddFooter>&amp;CPage &amp;P / &amp;N</oddFooter>
  </headerFooter>
  <drawing r:id="rId2"/>
  <legacyDrawing r:id="rId3"/>
  <controls>
    <mc:AlternateContent xmlns:mc="http://schemas.openxmlformats.org/markup-compatibility/2006">
      <mc:Choice Requires="x14">
        <control shapeId="22530" r:id="rId4" name="CommandButton2">
          <controlPr defaultSize="0" autoLine="0" r:id="rId5">
            <anchor moveWithCells="1">
              <from>
                <xdr:col>5</xdr:col>
                <xdr:colOff>114300</xdr:colOff>
                <xdr:row>0</xdr:row>
                <xdr:rowOff>38100</xdr:rowOff>
              </from>
              <to>
                <xdr:col>6</xdr:col>
                <xdr:colOff>104775</xdr:colOff>
                <xdr:row>1</xdr:row>
                <xdr:rowOff>180975</xdr:rowOff>
              </to>
            </anchor>
          </controlPr>
        </control>
      </mc:Choice>
      <mc:Fallback>
        <control shapeId="22530" r:id="rId4" name="CommandButton2"/>
      </mc:Fallback>
    </mc:AlternateContent>
    <mc:AlternateContent xmlns:mc="http://schemas.openxmlformats.org/markup-compatibility/2006">
      <mc:Choice Requires="x14">
        <control shapeId="22529" r:id="rId6" name="CommandButton1">
          <controlPr defaultSize="0" autoLine="0" r:id="rId7">
            <anchor moveWithCells="1">
              <from>
                <xdr:col>1</xdr:col>
                <xdr:colOff>28575</xdr:colOff>
                <xdr:row>0</xdr:row>
                <xdr:rowOff>47625</xdr:rowOff>
              </from>
              <to>
                <xdr:col>4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22529" r:id="rId6" name="CommandButton1"/>
      </mc:Fallback>
    </mc:AlternateContent>
  </controls>
  <tableParts count="2"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C2"/>
  <sheetViews>
    <sheetView workbookViewId="0">
      <selection activeCell="C3" sqref="C3"/>
    </sheetView>
  </sheetViews>
  <sheetFormatPr baseColWidth="10" defaultRowHeight="15" x14ac:dyDescent="0.25"/>
  <cols>
    <col min="1" max="1" width="22.85546875" customWidth="1"/>
    <col min="2" max="3" width="50.7109375" customWidth="1"/>
  </cols>
  <sheetData>
    <row r="1" spans="1:3" x14ac:dyDescent="0.25">
      <c r="A1" t="s">
        <v>32</v>
      </c>
      <c r="B1" t="s">
        <v>33</v>
      </c>
      <c r="C1" t="s">
        <v>34</v>
      </c>
    </row>
    <row r="2" spans="1:3" ht="30" x14ac:dyDescent="0.25">
      <c r="A2" s="31" t="s">
        <v>35</v>
      </c>
      <c r="B2" s="30" t="s">
        <v>36</v>
      </c>
      <c r="C2" s="32" t="s">
        <v>37</v>
      </c>
    </row>
  </sheetData>
  <pageMargins left="0.70866141732283472" right="0.70866141732283472" top="0.74803149606299213" bottom="0.74803149606299213" header="0.31496062992125984" footer="0.31496062992125984"/>
  <pageSetup paperSize="9" scale="70" fitToHeight="0" orientation="portrait" r:id="rId1"/>
  <headerFooter>
    <oddHeader>&amp;L&amp;"ETML,Normal"&amp;18ETML&amp;R&amp;D&amp;CJournal de travail</oddHeader>
    <oddFooter>&amp;CPage &amp;P /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btnFAQ">
          <controlPr defaultSize="0" autoLine="0" r:id="rId5">
            <anchor moveWithCells="1">
              <from>
                <xdr:col>3</xdr:col>
                <xdr:colOff>200025</xdr:colOff>
                <xdr:row>0</xdr:row>
                <xdr:rowOff>123825</xdr:rowOff>
              </from>
              <to>
                <xdr:col>5</xdr:col>
                <xdr:colOff>600075</xdr:colOff>
                <xdr:row>1</xdr:row>
                <xdr:rowOff>352425</xdr:rowOff>
              </to>
            </anchor>
          </controlPr>
        </control>
      </mc:Choice>
      <mc:Fallback>
        <control shapeId="19457" r:id="rId4" name="btnFAQ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E23"/>
  <sheetViews>
    <sheetView zoomScale="85" zoomScaleNormal="85" workbookViewId="0">
      <selection activeCell="B6" sqref="B6"/>
    </sheetView>
  </sheetViews>
  <sheetFormatPr baseColWidth="10" defaultRowHeight="15" x14ac:dyDescent="0.25"/>
  <cols>
    <col min="2" max="2" width="26.7109375" customWidth="1"/>
    <col min="3" max="3" width="13.28515625" style="4" customWidth="1"/>
    <col min="5" max="5" width="39.28515625" customWidth="1"/>
    <col min="6" max="7" width="25.7109375" customWidth="1"/>
  </cols>
  <sheetData>
    <row r="1" spans="2:5" x14ac:dyDescent="0.25">
      <c r="B1" s="16" t="s">
        <v>22</v>
      </c>
    </row>
    <row r="5" spans="2:5" x14ac:dyDescent="0.25">
      <c r="B5" s="16" t="s">
        <v>31</v>
      </c>
      <c r="C5" s="17" t="s">
        <v>11</v>
      </c>
      <c r="E5" t="s">
        <v>10</v>
      </c>
    </row>
    <row r="6" spans="2:5" x14ac:dyDescent="0.25">
      <c r="B6" s="25" t="s">
        <v>21</v>
      </c>
      <c r="C6" s="6">
        <v>0</v>
      </c>
      <c r="E6" s="6" t="s">
        <v>12</v>
      </c>
    </row>
    <row r="7" spans="2:5" x14ac:dyDescent="0.25">
      <c r="B7" s="25" t="s">
        <v>43</v>
      </c>
      <c r="C7" s="25">
        <v>2008</v>
      </c>
      <c r="E7" s="6" t="s">
        <v>3</v>
      </c>
    </row>
    <row r="8" spans="2:5" x14ac:dyDescent="0.25">
      <c r="B8" s="16"/>
      <c r="C8" s="17"/>
      <c r="E8" s="6" t="s">
        <v>44</v>
      </c>
    </row>
    <row r="9" spans="2:5" x14ac:dyDescent="0.25">
      <c r="B9" s="16"/>
      <c r="C9" s="17"/>
      <c r="E9" s="6" t="s">
        <v>45</v>
      </c>
    </row>
    <row r="10" spans="2:5" x14ac:dyDescent="0.25">
      <c r="B10" s="16"/>
      <c r="C10" s="17"/>
      <c r="E10" s="6" t="s">
        <v>46</v>
      </c>
    </row>
    <row r="11" spans="2:5" x14ac:dyDescent="0.25">
      <c r="B11" s="16"/>
      <c r="C11" s="17"/>
      <c r="E11" s="6" t="s">
        <v>47</v>
      </c>
    </row>
    <row r="12" spans="2:5" x14ac:dyDescent="0.25">
      <c r="C12" s="17"/>
      <c r="E12" s="6" t="s">
        <v>48</v>
      </c>
    </row>
    <row r="13" spans="2:5" x14ac:dyDescent="0.25">
      <c r="B13" s="16"/>
      <c r="C13" s="17"/>
      <c r="E13" s="6" t="s">
        <v>49</v>
      </c>
    </row>
    <row r="14" spans="2:5" x14ac:dyDescent="0.25">
      <c r="B14" s="16"/>
      <c r="C14" s="17"/>
    </row>
    <row r="15" spans="2:5" x14ac:dyDescent="0.25">
      <c r="B15" s="16"/>
      <c r="C15" s="17"/>
    </row>
    <row r="16" spans="2:5" x14ac:dyDescent="0.25">
      <c r="B16" s="16"/>
      <c r="C16" s="17"/>
    </row>
    <row r="17" spans="2:3" x14ac:dyDescent="0.25">
      <c r="C17" s="17"/>
    </row>
    <row r="18" spans="2:3" x14ac:dyDescent="0.25">
      <c r="C18" s="17"/>
    </row>
    <row r="19" spans="2:3" x14ac:dyDescent="0.25">
      <c r="C19" s="17"/>
    </row>
    <row r="20" spans="2:3" x14ac:dyDescent="0.25">
      <c r="B20" s="16"/>
      <c r="C20" s="17"/>
    </row>
    <row r="21" spans="2:3" x14ac:dyDescent="0.25">
      <c r="B21" s="16"/>
      <c r="C21" s="17"/>
    </row>
    <row r="22" spans="2:3" x14ac:dyDescent="0.25">
      <c r="B22" s="16"/>
      <c r="C22" s="17"/>
    </row>
    <row r="23" spans="2:3" x14ac:dyDescent="0.25">
      <c r="B23" s="16"/>
      <c r="C23" s="1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Bt_Activité">
          <controlPr defaultSize="0" autoLine="0" r:id="rId4">
            <anchor moveWithCells="1">
              <from>
                <xdr:col>4</xdr:col>
                <xdr:colOff>19050</xdr:colOff>
                <xdr:row>1</xdr:row>
                <xdr:rowOff>133350</xdr:rowOff>
              </from>
              <to>
                <xdr:col>4</xdr:col>
                <xdr:colOff>1428750</xdr:colOff>
                <xdr:row>3</xdr:row>
                <xdr:rowOff>76200</xdr:rowOff>
              </to>
            </anchor>
          </controlPr>
        </control>
      </mc:Choice>
      <mc:Fallback>
        <control shapeId="8194" r:id="rId3" name="Bt_Activité"/>
      </mc:Fallback>
    </mc:AlternateContent>
    <mc:AlternateContent xmlns:mc="http://schemas.openxmlformats.org/markup-compatibility/2006">
      <mc:Choice Requires="x14">
        <control shapeId="8193" r:id="rId5" name="Bt_Projet">
          <controlPr defaultSize="0" autoLine="0" r:id="rId6">
            <anchor moveWithCells="1">
              <from>
                <xdr:col>0</xdr:col>
                <xdr:colOff>752475</xdr:colOff>
                <xdr:row>1</xdr:row>
                <xdr:rowOff>133350</xdr:rowOff>
              </from>
              <to>
                <xdr:col>1</xdr:col>
                <xdr:colOff>1343025</xdr:colOff>
                <xdr:row>3</xdr:row>
                <xdr:rowOff>76200</xdr:rowOff>
              </to>
            </anchor>
          </controlPr>
        </control>
      </mc:Choice>
      <mc:Fallback>
        <control shapeId="8193" r:id="rId5" name="Bt_Projet"/>
      </mc:Fallback>
    </mc:AlternateContent>
  </controls>
  <tableParts count="2"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B3:N41"/>
  <sheetViews>
    <sheetView zoomScaleNormal="100" workbookViewId="0">
      <selection activeCell="F15" sqref="F15"/>
    </sheetView>
  </sheetViews>
  <sheetFormatPr baseColWidth="10" defaultRowHeight="15" x14ac:dyDescent="0.25"/>
  <cols>
    <col min="2" max="2" width="11.7109375" style="1" customWidth="1"/>
    <col min="3" max="4" width="6.28515625" style="2" customWidth="1"/>
    <col min="5" max="5" width="6.28515625" style="3" customWidth="1"/>
    <col min="6" max="7" width="24.7109375" style="3" customWidth="1"/>
    <col min="8" max="8" width="40.7109375" style="9" customWidth="1"/>
    <col min="9" max="9" width="1.5703125" style="5" customWidth="1"/>
    <col min="10" max="10" width="9.85546875" style="2" bestFit="1" customWidth="1"/>
    <col min="11" max="11" width="13" style="12" bestFit="1" customWidth="1"/>
    <col min="12" max="12" width="10.7109375" style="2" customWidth="1"/>
    <col min="13" max="13" width="7.5703125" style="2" customWidth="1"/>
    <col min="14" max="14" width="10.7109375" style="2" customWidth="1"/>
  </cols>
  <sheetData>
    <row r="3" spans="2:11" ht="18.75" x14ac:dyDescent="0.3">
      <c r="H3" s="11"/>
    </row>
    <row r="4" spans="2:11" x14ac:dyDescent="0.25">
      <c r="B4" s="27"/>
      <c r="C4" s="24" t="s">
        <v>39</v>
      </c>
      <c r="F4" s="10" t="s">
        <v>25</v>
      </c>
      <c r="G4" s="13" t="s">
        <v>20</v>
      </c>
      <c r="H4" s="8"/>
    </row>
    <row r="5" spans="2:11" x14ac:dyDescent="0.25">
      <c r="B5" s="26"/>
      <c r="C5" s="24" t="s">
        <v>26</v>
      </c>
      <c r="F5" s="15" t="s">
        <v>9</v>
      </c>
      <c r="G5" s="23" cm="1">
        <f t="array" aca="1" ref="G5" ca="1">SUMPRODUCT((INDIRECT("E15"):INDIRECT("E65636"))*(WEEKDAY(INDIRECT("B15"):INDIRECT("B65636"),2)=1))</f>
        <v>0</v>
      </c>
      <c r="H5" s="8"/>
    </row>
    <row r="6" spans="2:11" x14ac:dyDescent="0.25">
      <c r="B6" s="26"/>
      <c r="C6" s="48" t="s">
        <v>27</v>
      </c>
      <c r="F6" s="15" t="s">
        <v>5</v>
      </c>
      <c r="G6" s="23" cm="1">
        <f t="array" aca="1" ref="G6" ca="1">SUMPRODUCT((INDIRECT("E15"):INDIRECT("E65636"))*(WEEKDAY(INDIRECT("B15"):INDIRECT("B65636"),2)=2))</f>
        <v>0</v>
      </c>
      <c r="H6" s="8"/>
    </row>
    <row r="7" spans="2:11" x14ac:dyDescent="0.25">
      <c r="B7" s="47"/>
      <c r="C7" s="49"/>
      <c r="F7" s="15" t="s">
        <v>6</v>
      </c>
      <c r="G7" s="23" cm="1">
        <f t="array" aca="1" ref="G7" ca="1">SUMPRODUCT((INDIRECT("E15"):INDIRECT("E65636"))*(WEEKDAY(INDIRECT("B15"):INDIRECT("B65636"),2)=3))</f>
        <v>0</v>
      </c>
      <c r="H7" s="8"/>
    </row>
    <row r="8" spans="2:11" x14ac:dyDescent="0.25">
      <c r="B8" s="47"/>
      <c r="C8" s="49"/>
      <c r="F8" s="15" t="s">
        <v>7</v>
      </c>
      <c r="G8" s="23" cm="1">
        <f t="array" aca="1" ref="G8" ca="1">SUMPRODUCT((INDIRECT("E15"):INDIRECT("E65636"))*(WEEKDAY(INDIRECT("B15"):INDIRECT("B65636"),2)=4))</f>
        <v>0</v>
      </c>
      <c r="H8" s="8"/>
    </row>
    <row r="9" spans="2:11" x14ac:dyDescent="0.25">
      <c r="B9" s="47"/>
      <c r="C9" s="49"/>
      <c r="F9" s="15" t="s">
        <v>8</v>
      </c>
      <c r="G9" s="23" cm="1">
        <f t="array" aca="1" ref="G9" ca="1">SUMPRODUCT((INDIRECT("E15"):INDIRECT("E65636"))*(WEEKDAY(INDIRECT("B15"):INDIRECT("B65636"),2)=5))</f>
        <v>0</v>
      </c>
      <c r="H9" s="8"/>
    </row>
    <row r="10" spans="2:11" x14ac:dyDescent="0.25">
      <c r="B10" s="47"/>
      <c r="C10" s="49"/>
      <c r="F10" s="15" t="s">
        <v>23</v>
      </c>
      <c r="G10" s="23" cm="1">
        <f t="array" aca="1" ref="G10" ca="1">SUMPRODUCT((INDIRECT("E15"):INDIRECT("E65636"))*(WEEKDAY(INDIRECT("B15"):INDIRECT("B65636"),2)=6))</f>
        <v>0</v>
      </c>
      <c r="H10" s="8"/>
    </row>
    <row r="11" spans="2:11" x14ac:dyDescent="0.25">
      <c r="B11" s="47"/>
      <c r="C11" s="49"/>
      <c r="F11" s="15" t="s">
        <v>24</v>
      </c>
      <c r="G11" s="23" cm="1">
        <f t="array" aca="1" ref="G11" ca="1">SUMPRODUCT((INDIRECT("E15"):INDIRECT("E65636"))*(WEEKDAY(INDIRECT("B15"):INDIRECT("B65636"),2)=7))</f>
        <v>0</v>
      </c>
      <c r="H11" s="8"/>
    </row>
    <row r="12" spans="2:11" x14ac:dyDescent="0.25">
      <c r="B12" s="47"/>
      <c r="C12" s="49"/>
      <c r="F12" s="15" t="s">
        <v>19</v>
      </c>
      <c r="G12" s="23">
        <f ca="1">SUBTOTAL(109,Totals1[Total '[h']])</f>
        <v>0</v>
      </c>
      <c r="H12" s="8"/>
    </row>
    <row r="14" spans="2:11" x14ac:dyDescent="0.25">
      <c r="B14" s="1" t="s">
        <v>1</v>
      </c>
      <c r="C14" s="3" t="s">
        <v>28</v>
      </c>
      <c r="D14" s="3" t="s">
        <v>29</v>
      </c>
      <c r="E14" s="3" t="s">
        <v>30</v>
      </c>
      <c r="F14" s="2" t="s">
        <v>0</v>
      </c>
      <c r="G14" s="2" t="s">
        <v>2</v>
      </c>
      <c r="H14" s="22" t="s">
        <v>15</v>
      </c>
      <c r="J14" s="50"/>
      <c r="K14" s="51"/>
    </row>
    <row r="15" spans="2:11" x14ac:dyDescent="0.25">
      <c r="B15" s="40"/>
      <c r="C15" s="41"/>
      <c r="D15" s="41"/>
      <c r="E15" s="41"/>
      <c r="F15" s="42"/>
      <c r="G15" s="42"/>
      <c r="H15" s="43"/>
      <c r="J15" s="15"/>
      <c r="K15" s="23"/>
    </row>
    <row r="16" spans="2:11" x14ac:dyDescent="0.25">
      <c r="B16" s="44"/>
      <c r="C16" s="15"/>
      <c r="D16" s="15"/>
      <c r="E16" s="45"/>
      <c r="F16" s="45"/>
      <c r="G16" s="45"/>
      <c r="H16" s="46"/>
      <c r="J16" s="15"/>
      <c r="K16" s="23"/>
    </row>
    <row r="17" spans="2:11" x14ac:dyDescent="0.25">
      <c r="B17" s="44"/>
      <c r="C17" s="15"/>
      <c r="D17" s="15"/>
      <c r="E17" s="45"/>
      <c r="F17" s="45"/>
      <c r="G17" s="45"/>
      <c r="H17" s="46"/>
      <c r="J17" s="15"/>
      <c r="K17" s="23"/>
    </row>
    <row r="18" spans="2:11" x14ac:dyDescent="0.25">
      <c r="B18" s="44"/>
      <c r="C18" s="15"/>
      <c r="D18" s="15"/>
      <c r="E18" s="45"/>
      <c r="F18" s="45"/>
      <c r="G18" s="45"/>
      <c r="H18" s="46"/>
      <c r="J18" s="15"/>
      <c r="K18" s="23"/>
    </row>
    <row r="19" spans="2:11" x14ac:dyDescent="0.25">
      <c r="B19" s="44"/>
      <c r="C19" s="15"/>
      <c r="D19" s="15"/>
      <c r="E19" s="45"/>
      <c r="F19" s="45"/>
      <c r="G19" s="45"/>
      <c r="H19" s="46"/>
      <c r="J19" s="15"/>
      <c r="K19" s="23"/>
    </row>
    <row r="20" spans="2:11" x14ac:dyDescent="0.25">
      <c r="B20" s="44"/>
      <c r="C20" s="15"/>
      <c r="D20" s="15"/>
      <c r="E20" s="45"/>
      <c r="F20" s="45"/>
      <c r="G20" s="45"/>
      <c r="H20" s="46"/>
      <c r="J20" s="15"/>
      <c r="K20" s="23"/>
    </row>
    <row r="21" spans="2:11" x14ac:dyDescent="0.25">
      <c r="B21" s="44"/>
      <c r="C21" s="15"/>
      <c r="D21" s="15"/>
      <c r="E21" s="45"/>
      <c r="F21" s="45"/>
      <c r="G21" s="45"/>
      <c r="H21" s="46"/>
      <c r="J21" s="15"/>
      <c r="K21" s="23"/>
    </row>
    <row r="22" spans="2:11" x14ac:dyDescent="0.25">
      <c r="B22" s="44"/>
      <c r="C22" s="15"/>
      <c r="D22" s="15"/>
      <c r="E22" s="45"/>
      <c r="F22" s="45"/>
      <c r="G22" s="45"/>
      <c r="H22" s="46"/>
      <c r="J22" s="15"/>
      <c r="K22" s="23"/>
    </row>
    <row r="23" spans="2:11" x14ac:dyDescent="0.25">
      <c r="B23" s="44"/>
      <c r="C23" s="15"/>
      <c r="D23" s="15"/>
      <c r="E23" s="45"/>
      <c r="F23" s="45"/>
      <c r="G23" s="45"/>
      <c r="H23" s="46"/>
    </row>
    <row r="24" spans="2:11" x14ac:dyDescent="0.25">
      <c r="B24" s="44"/>
      <c r="C24" s="15"/>
      <c r="D24" s="15"/>
      <c r="E24" s="45"/>
      <c r="F24" s="45"/>
      <c r="G24" s="45"/>
      <c r="H24" s="46"/>
    </row>
    <row r="25" spans="2:11" x14ac:dyDescent="0.25">
      <c r="B25" s="44"/>
      <c r="C25" s="15"/>
      <c r="D25" s="15"/>
      <c r="E25" s="45"/>
      <c r="F25" s="45"/>
      <c r="G25" s="45"/>
      <c r="H25" s="46"/>
    </row>
    <row r="26" spans="2:11" x14ac:dyDescent="0.25">
      <c r="B26" s="44"/>
      <c r="C26" s="15"/>
      <c r="D26" s="15"/>
      <c r="E26" s="45"/>
      <c r="F26" s="45"/>
      <c r="G26" s="45"/>
      <c r="H26" s="46"/>
    </row>
    <row r="27" spans="2:11" x14ac:dyDescent="0.25">
      <c r="B27" s="44"/>
      <c r="C27" s="15"/>
      <c r="D27" s="15"/>
      <c r="E27" s="45"/>
      <c r="F27" s="45"/>
      <c r="G27" s="45"/>
      <c r="H27" s="46"/>
    </row>
    <row r="28" spans="2:11" x14ac:dyDescent="0.25">
      <c r="B28" s="44"/>
      <c r="C28" s="15"/>
      <c r="D28" s="15"/>
      <c r="E28" s="45"/>
      <c r="F28" s="45"/>
      <c r="G28" s="45"/>
      <c r="H28" s="46"/>
    </row>
    <row r="29" spans="2:11" ht="15" customHeight="1" x14ac:dyDescent="0.25">
      <c r="B29" s="44"/>
      <c r="C29" s="15"/>
      <c r="D29" s="15"/>
      <c r="E29" s="45"/>
      <c r="F29" s="45"/>
      <c r="G29" s="45"/>
      <c r="H29" s="46"/>
    </row>
    <row r="30" spans="2:11" ht="15" customHeight="1" x14ac:dyDescent="0.25">
      <c r="B30" s="44"/>
      <c r="C30" s="15"/>
      <c r="D30" s="15"/>
      <c r="E30" s="45"/>
      <c r="F30" s="45"/>
      <c r="G30" s="45"/>
      <c r="H30" s="46"/>
    </row>
    <row r="31" spans="2:11" ht="15" customHeight="1" x14ac:dyDescent="0.25">
      <c r="B31" s="44"/>
      <c r="C31" s="15"/>
      <c r="D31" s="15"/>
      <c r="E31" s="45"/>
      <c r="F31" s="45"/>
      <c r="G31" s="45"/>
      <c r="H31" s="46"/>
    </row>
    <row r="32" spans="2:11" ht="15" customHeight="1" x14ac:dyDescent="0.25">
      <c r="B32" s="44"/>
      <c r="C32" s="15"/>
      <c r="D32" s="15"/>
      <c r="E32" s="45"/>
      <c r="F32" s="45"/>
      <c r="G32" s="45"/>
      <c r="H32" s="46"/>
    </row>
    <row r="33" spans="2:8" ht="15" customHeight="1" x14ac:dyDescent="0.25">
      <c r="B33" s="44"/>
      <c r="C33" s="15"/>
      <c r="D33" s="15"/>
      <c r="E33" s="45"/>
      <c r="F33" s="45"/>
      <c r="G33" s="45"/>
      <c r="H33" s="46"/>
    </row>
    <row r="34" spans="2:8" ht="15" customHeight="1" x14ac:dyDescent="0.25">
      <c r="B34" s="44"/>
      <c r="C34" s="15"/>
      <c r="D34" s="15"/>
      <c r="E34" s="45"/>
      <c r="F34" s="45"/>
      <c r="G34" s="45"/>
      <c r="H34" s="46"/>
    </row>
    <row r="35" spans="2:8" ht="15" customHeight="1" x14ac:dyDescent="0.25">
      <c r="B35" s="44"/>
      <c r="C35" s="15"/>
      <c r="D35" s="15"/>
      <c r="E35" s="45"/>
      <c r="F35" s="45"/>
      <c r="G35" s="45"/>
      <c r="H35" s="46"/>
    </row>
    <row r="36" spans="2:8" x14ac:dyDescent="0.25">
      <c r="B36" s="44"/>
      <c r="C36" s="15"/>
      <c r="D36" s="15"/>
      <c r="E36" s="45"/>
      <c r="F36" s="45"/>
      <c r="G36" s="45"/>
      <c r="H36" s="46"/>
    </row>
    <row r="37" spans="2:8" x14ac:dyDescent="0.25">
      <c r="B37" s="44"/>
      <c r="C37" s="15"/>
      <c r="D37" s="15"/>
      <c r="E37" s="45"/>
      <c r="F37" s="45"/>
      <c r="G37" s="45"/>
      <c r="H37" s="46"/>
    </row>
    <row r="38" spans="2:8" x14ac:dyDescent="0.25">
      <c r="B38" s="44"/>
      <c r="C38" s="15"/>
      <c r="D38" s="15"/>
      <c r="E38" s="45"/>
      <c r="F38" s="45"/>
      <c r="G38" s="45"/>
      <c r="H38" s="46"/>
    </row>
    <row r="39" spans="2:8" x14ac:dyDescent="0.25">
      <c r="B39" s="44"/>
      <c r="C39" s="15"/>
      <c r="D39" s="15"/>
      <c r="E39" s="45"/>
      <c r="F39" s="45"/>
      <c r="G39" s="45"/>
      <c r="H39" s="46"/>
    </row>
    <row r="40" spans="2:8" x14ac:dyDescent="0.25">
      <c r="B40" s="44"/>
      <c r="C40" s="15"/>
      <c r="D40" s="15"/>
      <c r="E40" s="45"/>
      <c r="F40" s="45"/>
      <c r="G40" s="45"/>
      <c r="H40" s="46"/>
    </row>
    <row r="41" spans="2:8" x14ac:dyDescent="0.25">
      <c r="B41" s="44"/>
      <c r="C41" s="15"/>
      <c r="D41" s="15"/>
      <c r="E41" s="45"/>
      <c r="F41" s="45"/>
      <c r="G41" s="45"/>
      <c r="H41" s="46"/>
    </row>
  </sheetData>
  <dataConsolidate/>
  <pageMargins left="0.70866141732283472" right="0.70866141732283472" top="0.74803149606299213" bottom="0.74803149606299213" header="0.31496062992125984" footer="0.31496062992125984"/>
  <pageSetup paperSize="9" scale="72" fitToHeight="0" orientation="portrait" r:id="rId1"/>
  <headerFooter>
    <oddHeader>&amp;L&amp;"ETML,Normal"&amp;18ETML&amp;C&amp;14Journal de travail&amp;R&amp;D</oddHeader>
    <oddFooter>&amp;CPage &amp;P / &amp;N</oddFooter>
  </headerFooter>
  <drawing r:id="rId2"/>
  <legacyDrawing r:id="rId3"/>
  <controls>
    <mc:AlternateContent xmlns:mc="http://schemas.openxmlformats.org/markup-compatibility/2006">
      <mc:Choice Requires="x14">
        <control shapeId="2052" r:id="rId4" name="CommandButton1">
          <controlPr defaultSize="0" autoLine="0" r:id="rId5">
            <anchor moveWithCells="1">
              <from>
                <xdr:col>1</xdr:col>
                <xdr:colOff>28575</xdr:colOff>
                <xdr:row>0</xdr:row>
                <xdr:rowOff>47625</xdr:rowOff>
              </from>
              <to>
                <xdr:col>4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2052" r:id="rId4" name="CommandButton1"/>
      </mc:Fallback>
    </mc:AlternateContent>
    <mc:AlternateContent xmlns:mc="http://schemas.openxmlformats.org/markup-compatibility/2006">
      <mc:Choice Requires="x14">
        <control shapeId="2053" r:id="rId6" name="CommandButton2">
          <controlPr defaultSize="0" autoLine="0" r:id="rId7">
            <anchor moveWithCells="1">
              <from>
                <xdr:col>5</xdr:col>
                <xdr:colOff>114300</xdr:colOff>
                <xdr:row>0</xdr:row>
                <xdr:rowOff>38100</xdr:rowOff>
              </from>
              <to>
                <xdr:col>6</xdr:col>
                <xdr:colOff>104775</xdr:colOff>
                <xdr:row>1</xdr:row>
                <xdr:rowOff>180975</xdr:rowOff>
              </to>
            </anchor>
          </controlPr>
        </control>
      </mc:Choice>
      <mc:Fallback>
        <control shapeId="2053" r:id="rId6" name="CommandButton2"/>
      </mc:Fallback>
    </mc:AlternateContent>
  </controls>
  <tableParts count="2"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16</vt:i4>
      </vt:variant>
    </vt:vector>
  </HeadingPairs>
  <TitlesOfParts>
    <vt:vector size="21" baseType="lpstr">
      <vt:lpstr>Home</vt:lpstr>
      <vt:lpstr>24</vt:lpstr>
      <vt:lpstr>FAQ</vt:lpstr>
      <vt:lpstr>Projets</vt:lpstr>
      <vt:lpstr>W</vt:lpstr>
      <vt:lpstr>'24'!DayEnd</vt:lpstr>
      <vt:lpstr>DayEnd</vt:lpstr>
      <vt:lpstr>'24'!DayStart</vt:lpstr>
      <vt:lpstr>DayStart</vt:lpstr>
      <vt:lpstr>'24'!DayStop</vt:lpstr>
      <vt:lpstr>DayStop</vt:lpstr>
      <vt:lpstr>'24'!jour</vt:lpstr>
      <vt:lpstr>jour</vt:lpstr>
      <vt:lpstr>'24'!Tot</vt:lpstr>
      <vt:lpstr>Tot</vt:lpstr>
      <vt:lpstr>'24'!Week</vt:lpstr>
      <vt:lpstr>Week</vt:lpstr>
      <vt:lpstr>'24'!Zone_d_impression</vt:lpstr>
      <vt:lpstr>FAQ!Zone_d_impression</vt:lpstr>
      <vt:lpstr>Home!Zone_d_impression</vt:lpstr>
      <vt:lpstr>W!Zone_d_impression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Mario Dossantos</cp:lastModifiedBy>
  <cp:lastPrinted>2021-06-11T09:06:19Z</cp:lastPrinted>
  <dcterms:created xsi:type="dcterms:W3CDTF">2019-05-18T10:12:13Z</dcterms:created>
  <dcterms:modified xsi:type="dcterms:W3CDTF">2021-06-11T09:06:19Z</dcterms:modified>
</cp:coreProperties>
</file>